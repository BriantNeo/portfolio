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ian\OneDrive\Desktop\portfolio_certifications_rebuilt\"/>
    </mc:Choice>
  </mc:AlternateContent>
  <xr:revisionPtr revIDLastSave="0" documentId="13_ncr:1_{EFE52A38-6C44-43AD-9013-60710DF92C5E}" xr6:coauthVersionLast="47" xr6:coauthVersionMax="47" xr10:uidLastSave="{00000000-0000-0000-0000-000000000000}"/>
  <bookViews>
    <workbookView xWindow="0" yWindow="1440" windowWidth="21600" windowHeight="11295" xr2:uid="{00000000-000D-0000-FFFF-FFFF00000000}"/>
  </bookViews>
  <sheets>
    <sheet name="Sheet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1" l="1"/>
  <c r="C117" i="1" l="1"/>
  <c r="D113" i="1" s="1"/>
  <c r="D117" i="1"/>
  <c r="E113" i="1" s="1"/>
  <c r="E127" i="1"/>
  <c r="J126" i="1" s="1"/>
  <c r="D127" i="1"/>
  <c r="E124" i="1" s="1"/>
  <c r="E132" i="1" s="1"/>
  <c r="C127" i="1"/>
  <c r="D124" i="1" s="1"/>
  <c r="D132" i="1" s="1"/>
  <c r="E122" i="1"/>
  <c r="I121" i="1" s="1"/>
  <c r="D122" i="1"/>
  <c r="C122" i="1"/>
  <c r="D119" i="1" s="1"/>
  <c r="E117" i="1"/>
  <c r="F113" i="1" s="1"/>
  <c r="E114" i="1"/>
  <c r="D114" i="1"/>
  <c r="C114" i="1"/>
  <c r="J112" i="1"/>
  <c r="J115" i="1" s="1"/>
  <c r="I112" i="1"/>
  <c r="I115" i="1" s="1"/>
  <c r="H112" i="1"/>
  <c r="H115" i="1" s="1"/>
  <c r="G112" i="1"/>
  <c r="G115" i="1" s="1"/>
  <c r="F112" i="1"/>
  <c r="F115" i="1" s="1"/>
  <c r="E110" i="1"/>
  <c r="F106" i="1" s="1"/>
  <c r="D110" i="1"/>
  <c r="E106" i="1" s="1"/>
  <c r="C110" i="1"/>
  <c r="C104" i="1"/>
  <c r="D99" i="1" s="1"/>
  <c r="E100" i="1"/>
  <c r="D100" i="1"/>
  <c r="C100" i="1"/>
  <c r="D97" i="1"/>
  <c r="E97" i="1" s="1"/>
  <c r="F97" i="1" s="1"/>
  <c r="G97" i="1" s="1"/>
  <c r="H97" i="1" s="1"/>
  <c r="I97" i="1" s="1"/>
  <c r="J97" i="1" s="1"/>
  <c r="F90" i="1"/>
  <c r="G90" i="1" s="1"/>
  <c r="E89" i="1"/>
  <c r="D89" i="1"/>
  <c r="C89" i="1"/>
  <c r="E88" i="1"/>
  <c r="D88" i="1"/>
  <c r="C88" i="1"/>
  <c r="C87" i="1"/>
  <c r="E85" i="1"/>
  <c r="E87" i="1" s="1"/>
  <c r="D85" i="1"/>
  <c r="D87" i="1" s="1"/>
  <c r="E80" i="1"/>
  <c r="E79" i="1"/>
  <c r="D79" i="1"/>
  <c r="C79" i="1"/>
  <c r="D78" i="1"/>
  <c r="C78" i="1"/>
  <c r="E75" i="1"/>
  <c r="D75" i="1"/>
  <c r="C75" i="1"/>
  <c r="E72" i="1"/>
  <c r="D72" i="1"/>
  <c r="C72" i="1"/>
  <c r="E71" i="1"/>
  <c r="D71" i="1"/>
  <c r="C71" i="1"/>
  <c r="E70" i="1"/>
  <c r="D70" i="1"/>
  <c r="C70" i="1"/>
  <c r="E69" i="1"/>
  <c r="D69" i="1"/>
  <c r="C69" i="1"/>
  <c r="E68" i="1"/>
  <c r="D68" i="1"/>
  <c r="C68" i="1"/>
  <c r="D66" i="1"/>
  <c r="E66" i="1" s="1"/>
  <c r="F66" i="1" s="1"/>
  <c r="G66" i="1" s="1"/>
  <c r="H66" i="1" s="1"/>
  <c r="I66" i="1" s="1"/>
  <c r="J66" i="1" s="1"/>
  <c r="E61" i="1"/>
  <c r="D61" i="1"/>
  <c r="C61" i="1"/>
  <c r="F60" i="1"/>
  <c r="G60" i="1" s="1"/>
  <c r="H60" i="1" s="1"/>
  <c r="I60" i="1" s="1"/>
  <c r="J60" i="1" s="1"/>
  <c r="F58" i="1"/>
  <c r="G58" i="1" s="1"/>
  <c r="H58" i="1" s="1"/>
  <c r="E57" i="1"/>
  <c r="D57" i="1"/>
  <c r="C57" i="1"/>
  <c r="E49" i="1"/>
  <c r="D49" i="1"/>
  <c r="C49" i="1"/>
  <c r="F48" i="1"/>
  <c r="G48" i="1" s="1"/>
  <c r="H48" i="1" s="1"/>
  <c r="I48" i="1" s="1"/>
  <c r="J48" i="1" s="1"/>
  <c r="E44" i="1"/>
  <c r="D44" i="1"/>
  <c r="C44" i="1"/>
  <c r="F43" i="1"/>
  <c r="G43" i="1" s="1"/>
  <c r="H43" i="1" s="1"/>
  <c r="I43" i="1" s="1"/>
  <c r="J43" i="1" s="1"/>
  <c r="F42" i="1"/>
  <c r="G42" i="1" s="1"/>
  <c r="H42" i="1" s="1"/>
  <c r="I42" i="1" s="1"/>
  <c r="J42" i="1" s="1"/>
  <c r="F41" i="1"/>
  <c r="G41" i="1" s="1"/>
  <c r="G79" i="1" s="1"/>
  <c r="E37" i="1"/>
  <c r="D37" i="1"/>
  <c r="C37" i="1"/>
  <c r="F36" i="1"/>
  <c r="G36" i="1" s="1"/>
  <c r="H36" i="1" s="1"/>
  <c r="I36" i="1" s="1"/>
  <c r="J36" i="1" s="1"/>
  <c r="F35" i="1"/>
  <c r="G35" i="1" s="1"/>
  <c r="H35" i="1" s="1"/>
  <c r="I35" i="1" s="1"/>
  <c r="J35" i="1" s="1"/>
  <c r="F34" i="1"/>
  <c r="G34" i="1" s="1"/>
  <c r="H34" i="1" s="1"/>
  <c r="I34" i="1" s="1"/>
  <c r="J34" i="1" s="1"/>
  <c r="D31" i="1"/>
  <c r="E31" i="1" s="1"/>
  <c r="F31" i="1" s="1"/>
  <c r="G31" i="1" s="1"/>
  <c r="H31" i="1" s="1"/>
  <c r="I31" i="1" s="1"/>
  <c r="J31" i="1" s="1"/>
  <c r="F23" i="1"/>
  <c r="G23" i="1" s="1"/>
  <c r="E22" i="1"/>
  <c r="E6" i="1" s="1"/>
  <c r="D22" i="1"/>
  <c r="D6" i="1" s="1"/>
  <c r="C22" i="1"/>
  <c r="C6" i="1" s="1"/>
  <c r="F20" i="1"/>
  <c r="F86" i="1" s="1"/>
  <c r="E19" i="1"/>
  <c r="D19" i="1"/>
  <c r="C19" i="1"/>
  <c r="F17" i="1"/>
  <c r="G17" i="1" s="1"/>
  <c r="D16" i="1"/>
  <c r="E16" i="1" s="1"/>
  <c r="F16" i="1" s="1"/>
  <c r="G16" i="1" s="1"/>
  <c r="H16" i="1" s="1"/>
  <c r="I16" i="1" s="1"/>
  <c r="J16" i="1" s="1"/>
  <c r="E11" i="1"/>
  <c r="D11" i="1"/>
  <c r="C11" i="1"/>
  <c r="E10" i="1"/>
  <c r="D10" i="1"/>
  <c r="C10" i="1"/>
  <c r="E9" i="1"/>
  <c r="D9" i="1"/>
  <c r="C9" i="1"/>
  <c r="E8" i="1"/>
  <c r="F8" i="1" s="1"/>
  <c r="D8" i="1"/>
  <c r="C8" i="1"/>
  <c r="E7" i="1"/>
  <c r="D7" i="1"/>
  <c r="C7" i="1"/>
  <c r="E5" i="1"/>
  <c r="D5" i="1"/>
  <c r="C5" i="1"/>
  <c r="E4" i="1"/>
  <c r="D4" i="1"/>
  <c r="C4" i="1"/>
  <c r="E3" i="1"/>
  <c r="D3" i="1"/>
  <c r="D2" i="1"/>
  <c r="E2" i="1" s="1"/>
  <c r="F2" i="1" s="1"/>
  <c r="G2" i="1" s="1"/>
  <c r="H2" i="1" s="1"/>
  <c r="I2" i="1" s="1"/>
  <c r="J2" i="1" s="1"/>
  <c r="F4" i="1" l="1"/>
  <c r="D24" i="1"/>
  <c r="D26" i="1" s="1"/>
  <c r="D67" i="1" s="1"/>
  <c r="D74" i="1" s="1"/>
  <c r="D81" i="1" s="1"/>
  <c r="E24" i="1"/>
  <c r="E26" i="1" s="1"/>
  <c r="E12" i="1" s="1"/>
  <c r="F10" i="1"/>
  <c r="G10" i="1" s="1"/>
  <c r="H10" i="1" s="1"/>
  <c r="I10" i="1" s="1"/>
  <c r="J10" i="1" s="1"/>
  <c r="F40" i="1"/>
  <c r="F75" i="1" s="1"/>
  <c r="F6" i="1"/>
  <c r="F22" i="1" s="1"/>
  <c r="F5" i="1"/>
  <c r="G5" i="1" s="1"/>
  <c r="C99" i="1"/>
  <c r="J121" i="1"/>
  <c r="H23" i="1"/>
  <c r="I23" i="1" s="1"/>
  <c r="C62" i="1"/>
  <c r="F11" i="1"/>
  <c r="G11" i="1" s="1"/>
  <c r="D62" i="1"/>
  <c r="D63" i="1" s="1"/>
  <c r="I58" i="1"/>
  <c r="G4" i="1"/>
  <c r="H4" i="1" s="1"/>
  <c r="I4" i="1" s="1"/>
  <c r="J4" i="1" s="1"/>
  <c r="F18" i="1"/>
  <c r="D131" i="1"/>
  <c r="D133" i="1" s="1"/>
  <c r="D128" i="1"/>
  <c r="F124" i="1"/>
  <c r="H126" i="1"/>
  <c r="G126" i="1"/>
  <c r="F126" i="1"/>
  <c r="E62" i="1"/>
  <c r="E63" i="1" s="1"/>
  <c r="D104" i="1"/>
  <c r="E99" i="1" s="1"/>
  <c r="E104" i="1" s="1"/>
  <c r="F99" i="1" s="1"/>
  <c r="I126" i="1"/>
  <c r="G8" i="1"/>
  <c r="H8" i="1" s="1"/>
  <c r="I8" i="1" s="1"/>
  <c r="J8" i="1" s="1"/>
  <c r="H41" i="1"/>
  <c r="F79" i="1"/>
  <c r="F109" i="1"/>
  <c r="F110" i="1" s="1"/>
  <c r="D121" i="1"/>
  <c r="C113" i="1"/>
  <c r="H90" i="1"/>
  <c r="F100" i="1"/>
  <c r="I90" i="1"/>
  <c r="J90" i="1"/>
  <c r="F114" i="1"/>
  <c r="C124" i="1"/>
  <c r="C132" i="1" s="1"/>
  <c r="H121" i="1"/>
  <c r="G121" i="1"/>
  <c r="F121" i="1"/>
  <c r="F119" i="1"/>
  <c r="C24" i="1"/>
  <c r="C26" i="1" s="1"/>
  <c r="C91" i="1"/>
  <c r="D106" i="1"/>
  <c r="C106" i="1"/>
  <c r="C119" i="1"/>
  <c r="C121" i="1" s="1"/>
  <c r="H79" i="1"/>
  <c r="H17" i="1"/>
  <c r="D91" i="1"/>
  <c r="E91" i="1"/>
  <c r="E119" i="1"/>
  <c r="D126" i="1"/>
  <c r="E126" i="1"/>
  <c r="E67" i="1" l="1"/>
  <c r="E74" i="1" s="1"/>
  <c r="E81" i="1" s="1"/>
  <c r="E28" i="1"/>
  <c r="D28" i="1"/>
  <c r="D12" i="1"/>
  <c r="G6" i="1"/>
  <c r="G22" i="1" s="1"/>
  <c r="G40" i="1"/>
  <c r="F51" i="1"/>
  <c r="F21" i="1"/>
  <c r="J23" i="1"/>
  <c r="G51" i="1"/>
  <c r="G18" i="1"/>
  <c r="G19" i="1" s="1"/>
  <c r="D92" i="1"/>
  <c r="D94" i="1" s="1"/>
  <c r="G106" i="1"/>
  <c r="F33" i="1"/>
  <c r="G100" i="1"/>
  <c r="F82" i="1"/>
  <c r="F87" i="1" s="1"/>
  <c r="F39" i="1"/>
  <c r="F50" i="1"/>
  <c r="F19" i="1"/>
  <c r="F127" i="1"/>
  <c r="F132" i="1"/>
  <c r="F103" i="1"/>
  <c r="F68" i="1" s="1"/>
  <c r="C131" i="1"/>
  <c r="C133" i="1" s="1"/>
  <c r="C128" i="1"/>
  <c r="H11" i="1"/>
  <c r="G21" i="1"/>
  <c r="H5" i="1"/>
  <c r="H40" i="1"/>
  <c r="H18" i="1"/>
  <c r="H19" i="1" s="1"/>
  <c r="H51" i="1"/>
  <c r="I17" i="1"/>
  <c r="F116" i="1"/>
  <c r="F117" i="1" s="1"/>
  <c r="C126" i="1"/>
  <c r="C12" i="1"/>
  <c r="C28" i="1"/>
  <c r="C67" i="1"/>
  <c r="C74" i="1" s="1"/>
  <c r="C81" i="1" s="1"/>
  <c r="C92" i="1" s="1"/>
  <c r="C94" i="1" s="1"/>
  <c r="H6" i="1"/>
  <c r="G75" i="1"/>
  <c r="E131" i="1"/>
  <c r="E133" i="1" s="1"/>
  <c r="E128" i="1"/>
  <c r="E121" i="1"/>
  <c r="F131" i="1"/>
  <c r="F128" i="1"/>
  <c r="F122" i="1"/>
  <c r="I41" i="1"/>
  <c r="E92" i="1"/>
  <c r="E94" i="1" s="1"/>
  <c r="F93" i="1" s="1"/>
  <c r="J58" i="1"/>
  <c r="F12" i="1" l="1"/>
  <c r="F24" i="1"/>
  <c r="G50" i="1"/>
  <c r="G76" i="1" s="1"/>
  <c r="G39" i="1"/>
  <c r="G77" i="1" s="1"/>
  <c r="F45" i="1"/>
  <c r="F53" i="1" s="1"/>
  <c r="G119" i="1"/>
  <c r="J41" i="1"/>
  <c r="J79" i="1"/>
  <c r="I79" i="1"/>
  <c r="H39" i="1"/>
  <c r="H50" i="1"/>
  <c r="F88" i="1"/>
  <c r="J12" i="1"/>
  <c r="I12" i="1"/>
  <c r="H12" i="1"/>
  <c r="G12" i="1"/>
  <c r="G124" i="1"/>
  <c r="F46" i="1"/>
  <c r="F54" i="1" s="1"/>
  <c r="F77" i="1"/>
  <c r="H21" i="1"/>
  <c r="I5" i="1"/>
  <c r="I11" i="1"/>
  <c r="H22" i="1"/>
  <c r="I6" i="1"/>
  <c r="H100" i="1"/>
  <c r="G82" i="1"/>
  <c r="F104" i="1"/>
  <c r="H75" i="1"/>
  <c r="I18" i="1"/>
  <c r="I40" i="1"/>
  <c r="I75" i="1" s="1"/>
  <c r="I19" i="1"/>
  <c r="I51" i="1"/>
  <c r="J17" i="1"/>
  <c r="F133" i="1"/>
  <c r="F25" i="1" s="1"/>
  <c r="F76" i="1"/>
  <c r="G109" i="1"/>
  <c r="G110" i="1" s="1"/>
  <c r="F26" i="1" l="1"/>
  <c r="F67" i="1" s="1"/>
  <c r="F89" i="1"/>
  <c r="F72" i="1"/>
  <c r="F91" i="1"/>
  <c r="I50" i="1"/>
  <c r="I39" i="1"/>
  <c r="H82" i="1"/>
  <c r="I100" i="1"/>
  <c r="J5" i="1"/>
  <c r="J21" i="1" s="1"/>
  <c r="I21" i="1"/>
  <c r="G33" i="1"/>
  <c r="H106" i="1"/>
  <c r="G113" i="1"/>
  <c r="F47" i="1"/>
  <c r="F49" i="1" s="1"/>
  <c r="F55" i="1"/>
  <c r="J11" i="1"/>
  <c r="G131" i="1"/>
  <c r="G128" i="1"/>
  <c r="G122" i="1"/>
  <c r="I22" i="1"/>
  <c r="J6" i="1"/>
  <c r="J22" i="1" s="1"/>
  <c r="J18" i="1"/>
  <c r="J40" i="1"/>
  <c r="J75" i="1" s="1"/>
  <c r="J19" i="1"/>
  <c r="J51" i="1"/>
  <c r="H76" i="1"/>
  <c r="F32" i="1"/>
  <c r="G99" i="1"/>
  <c r="H77" i="1"/>
  <c r="G127" i="1"/>
  <c r="G132" i="1"/>
  <c r="F27" i="1" l="1"/>
  <c r="F28" i="1" s="1"/>
  <c r="F74" i="1"/>
  <c r="G114" i="1"/>
  <c r="H109" i="1"/>
  <c r="H110" i="1" s="1"/>
  <c r="J50" i="1"/>
  <c r="J39" i="1"/>
  <c r="J77" i="1" s="1"/>
  <c r="H119" i="1"/>
  <c r="G45" i="1"/>
  <c r="I82" i="1"/>
  <c r="J100" i="1"/>
  <c r="J82" i="1" s="1"/>
  <c r="H124" i="1"/>
  <c r="G46" i="1"/>
  <c r="G54" i="1" s="1"/>
  <c r="G133" i="1"/>
  <c r="G103" i="1"/>
  <c r="G68" i="1" s="1"/>
  <c r="G104" i="1"/>
  <c r="I76" i="1"/>
  <c r="F37" i="1"/>
  <c r="F52" i="1"/>
  <c r="I77" i="1"/>
  <c r="F56" i="1" l="1"/>
  <c r="F80" i="1"/>
  <c r="H33" i="1"/>
  <c r="I106" i="1"/>
  <c r="H131" i="1"/>
  <c r="H128" i="1"/>
  <c r="H122" i="1"/>
  <c r="G53" i="1"/>
  <c r="H127" i="1"/>
  <c r="H132" i="1"/>
  <c r="F78" i="1"/>
  <c r="F81" i="1" s="1"/>
  <c r="F92" i="1" s="1"/>
  <c r="F94" i="1" s="1"/>
  <c r="F57" i="1"/>
  <c r="J76" i="1"/>
  <c r="H99" i="1"/>
  <c r="G32" i="1"/>
  <c r="G25" i="1"/>
  <c r="G116" i="1"/>
  <c r="G93" i="1" l="1"/>
  <c r="F38" i="1"/>
  <c r="I109" i="1"/>
  <c r="I110" i="1" s="1"/>
  <c r="H46" i="1"/>
  <c r="H54" i="1"/>
  <c r="I124" i="1"/>
  <c r="I119" i="1"/>
  <c r="H45" i="1"/>
  <c r="H133" i="1"/>
  <c r="G88" i="1"/>
  <c r="G117" i="1"/>
  <c r="G89" i="1"/>
  <c r="G37" i="1"/>
  <c r="G52" i="1"/>
  <c r="H103" i="1"/>
  <c r="H68" i="1" s="1"/>
  <c r="H104" i="1"/>
  <c r="J106" i="1" l="1"/>
  <c r="I33" i="1"/>
  <c r="I131" i="1"/>
  <c r="I128" i="1"/>
  <c r="I122" i="1"/>
  <c r="F44" i="1"/>
  <c r="G20" i="1"/>
  <c r="H113" i="1"/>
  <c r="G47" i="1"/>
  <c r="G49" i="1" s="1"/>
  <c r="G91" i="1"/>
  <c r="H53" i="1"/>
  <c r="I132" i="1"/>
  <c r="I127" i="1"/>
  <c r="I99" i="1"/>
  <c r="H32" i="1"/>
  <c r="G78" i="1"/>
  <c r="G55" i="1" l="1"/>
  <c r="I46" i="1"/>
  <c r="I54" i="1" s="1"/>
  <c r="J124" i="1"/>
  <c r="G86" i="1"/>
  <c r="G87" i="1" s="1"/>
  <c r="G24" i="1"/>
  <c r="G26" i="1" s="1"/>
  <c r="G72" i="1"/>
  <c r="H37" i="1"/>
  <c r="H52" i="1"/>
  <c r="H114" i="1"/>
  <c r="F59" i="1"/>
  <c r="F61" i="1" s="1"/>
  <c r="F62" i="1" s="1"/>
  <c r="F63" i="1" s="1"/>
  <c r="J119" i="1"/>
  <c r="I45" i="1"/>
  <c r="I133" i="1"/>
  <c r="I103" i="1"/>
  <c r="I68" i="1" s="1"/>
  <c r="J109" i="1"/>
  <c r="J110" i="1" s="1"/>
  <c r="J33" i="1" s="1"/>
  <c r="I104" i="1" l="1"/>
  <c r="J131" i="1"/>
  <c r="J128" i="1"/>
  <c r="J122" i="1"/>
  <c r="H25" i="1"/>
  <c r="H116" i="1"/>
  <c r="H117" i="1" s="1"/>
  <c r="H78" i="1"/>
  <c r="G67" i="1"/>
  <c r="G74" i="1" s="1"/>
  <c r="G27" i="1"/>
  <c r="I32" i="1"/>
  <c r="J99" i="1"/>
  <c r="J132" i="1"/>
  <c r="J127" i="1"/>
  <c r="I53" i="1"/>
  <c r="J46" i="1" l="1"/>
  <c r="J54" i="1" s="1"/>
  <c r="J103" i="1"/>
  <c r="J68" i="1" s="1"/>
  <c r="I37" i="1"/>
  <c r="I52" i="1"/>
  <c r="G56" i="1"/>
  <c r="G57" i="1" s="1"/>
  <c r="G80" i="1"/>
  <c r="G81" i="1" s="1"/>
  <c r="G92" i="1" s="1"/>
  <c r="G94" i="1" s="1"/>
  <c r="G28" i="1"/>
  <c r="H88" i="1"/>
  <c r="H89" i="1"/>
  <c r="J45" i="1"/>
  <c r="J133" i="1"/>
  <c r="H93" i="1" l="1"/>
  <c r="G38" i="1"/>
  <c r="H47" i="1"/>
  <c r="H49" i="1" s="1"/>
  <c r="I113" i="1"/>
  <c r="J53" i="1"/>
  <c r="H91" i="1"/>
  <c r="I78" i="1"/>
  <c r="J104" i="1"/>
  <c r="J32" i="1" s="1"/>
  <c r="H55" i="1" l="1"/>
  <c r="J37" i="1"/>
  <c r="J52" i="1"/>
  <c r="I114" i="1"/>
  <c r="G44" i="1"/>
  <c r="H20" i="1"/>
  <c r="G59" i="1" l="1"/>
  <c r="G61" i="1" s="1"/>
  <c r="G62" i="1" s="1"/>
  <c r="G63" i="1" s="1"/>
  <c r="H86" i="1"/>
  <c r="H87" i="1" s="1"/>
  <c r="H24" i="1"/>
  <c r="H26" i="1" s="1"/>
  <c r="H72" i="1"/>
  <c r="I25" i="1"/>
  <c r="I116" i="1"/>
  <c r="J78" i="1"/>
  <c r="I88" i="1" l="1"/>
  <c r="I117" i="1"/>
  <c r="H27" i="1"/>
  <c r="H67" i="1"/>
  <c r="H74" i="1" s="1"/>
  <c r="I89" i="1"/>
  <c r="J113" i="1" l="1"/>
  <c r="I47" i="1"/>
  <c r="I49" i="1" s="1"/>
  <c r="H56" i="1"/>
  <c r="H57" i="1" s="1"/>
  <c r="H80" i="1"/>
  <c r="H81" i="1" s="1"/>
  <c r="H92" i="1" s="1"/>
  <c r="H94" i="1" s="1"/>
  <c r="H28" i="1"/>
  <c r="I91" i="1"/>
  <c r="H38" i="1" l="1"/>
  <c r="I93" i="1"/>
  <c r="I55" i="1"/>
  <c r="J114" i="1"/>
  <c r="J25" i="1" l="1"/>
  <c r="J116" i="1"/>
  <c r="H44" i="1"/>
  <c r="I20" i="1"/>
  <c r="H59" i="1" l="1"/>
  <c r="H61" i="1" s="1"/>
  <c r="H62" i="1" s="1"/>
  <c r="H63" i="1" s="1"/>
  <c r="I86" i="1"/>
  <c r="I87" i="1" s="1"/>
  <c r="I24" i="1"/>
  <c r="I26" i="1" s="1"/>
  <c r="I72" i="1"/>
  <c r="J88" i="1"/>
  <c r="J117" i="1"/>
  <c r="J89" i="1"/>
  <c r="J91" i="1" l="1"/>
  <c r="J47" i="1"/>
  <c r="J49" i="1" s="1"/>
  <c r="I27" i="1"/>
  <c r="I67" i="1"/>
  <c r="I74" i="1" s="1"/>
  <c r="J55" i="1" l="1"/>
  <c r="I56" i="1"/>
  <c r="I57" i="1" s="1"/>
  <c r="I80" i="1"/>
  <c r="I81" i="1" s="1"/>
  <c r="I92" i="1" s="1"/>
  <c r="I94" i="1" s="1"/>
  <c r="I28" i="1"/>
  <c r="I38" i="1" l="1"/>
  <c r="J93" i="1"/>
  <c r="J20" i="1" l="1"/>
  <c r="I44" i="1"/>
  <c r="I59" i="1" l="1"/>
  <c r="I61" i="1" s="1"/>
  <c r="I62" i="1" s="1"/>
  <c r="I63" i="1" s="1"/>
  <c r="J86" i="1"/>
  <c r="J87" i="1" s="1"/>
  <c r="J24" i="1"/>
  <c r="J26" i="1" s="1"/>
  <c r="J72" i="1"/>
  <c r="J67" i="1" l="1"/>
  <c r="J74" i="1" s="1"/>
  <c r="J27" i="1"/>
  <c r="J28" i="1"/>
  <c r="J56" i="1" l="1"/>
  <c r="J57" i="1" s="1"/>
  <c r="J80" i="1"/>
  <c r="J81" i="1"/>
  <c r="J92" i="1" s="1"/>
  <c r="J94" i="1" s="1"/>
  <c r="J38" i="1" s="1"/>
  <c r="J44" i="1" s="1"/>
  <c r="J59" i="1" l="1"/>
  <c r="J61" i="1" s="1"/>
  <c r="J62" i="1" s="1"/>
  <c r="J63" i="1" s="1"/>
</calcChain>
</file>

<file path=xl/sharedStrings.xml><?xml version="1.0" encoding="utf-8"?>
<sst xmlns="http://schemas.openxmlformats.org/spreadsheetml/2006/main" count="136" uniqueCount="125">
  <si>
    <t>Historical</t>
  </si>
  <si>
    <t>Forecast</t>
  </si>
  <si>
    <t>Key Assumptions</t>
  </si>
  <si>
    <t>Revenue Growth (% Change)</t>
  </si>
  <si>
    <t>Cost of Goods Sold (% Revenue)</t>
  </si>
  <si>
    <t>Other Income (% Revenue)</t>
  </si>
  <si>
    <t>SG&amp;A (% Revenue)</t>
  </si>
  <si>
    <t>Inventory Days</t>
  </si>
  <si>
    <t>Accounts Receivable Days</t>
  </si>
  <si>
    <t>Accounts Payable Days</t>
  </si>
  <si>
    <t>Other Liabilities (% of Revenue)</t>
  </si>
  <si>
    <t>Provisions (% of PPE)</t>
  </si>
  <si>
    <t>Effective Tax Rate</t>
  </si>
  <si>
    <t>Income Statement</t>
  </si>
  <si>
    <t>Revenue</t>
  </si>
  <si>
    <t>Cost of Goods Sold (COGS)</t>
  </si>
  <si>
    <t>Gross Profit</t>
  </si>
  <si>
    <t>Interest Income</t>
  </si>
  <si>
    <t>Other Income</t>
  </si>
  <si>
    <t>SG&amp;A</t>
  </si>
  <si>
    <t>Other Expenses</t>
  </si>
  <si>
    <t>Operating Profit (EBIT)</t>
  </si>
  <si>
    <t>Finance Costs</t>
  </si>
  <si>
    <t>Profit Before Tax (EBT)</t>
  </si>
  <si>
    <t>Income Tax Expense</t>
  </si>
  <si>
    <t>Net Income</t>
  </si>
  <si>
    <t>Balance Sheet</t>
  </si>
  <si>
    <t>Property, Plant &amp; Equipment</t>
  </si>
  <si>
    <t>Right-of-use Assets</t>
  </si>
  <si>
    <t>Intangible Assets</t>
  </si>
  <si>
    <t>Deferred tax assets</t>
  </si>
  <si>
    <t>Long Term Deposits</t>
  </si>
  <si>
    <t>Total Non-Current Assets</t>
  </si>
  <si>
    <t>Cash &amp; Cash Equivalents</t>
  </si>
  <si>
    <t>Inventories</t>
  </si>
  <si>
    <t>Accounts Receivable</t>
  </si>
  <si>
    <t>Deposits</t>
  </si>
  <si>
    <t>Prepayments</t>
  </si>
  <si>
    <t>Restricted Cash</t>
  </si>
  <si>
    <t>Total Current Assets</t>
  </si>
  <si>
    <t>Bank loans</t>
  </si>
  <si>
    <t>Finance lease liabilities</t>
  </si>
  <si>
    <t>Lease Liabilities</t>
  </si>
  <si>
    <t>Deferred Tax Liabilities</t>
  </si>
  <si>
    <t>Total Non-Current Liabilities</t>
  </si>
  <si>
    <t>Accounts Payable</t>
  </si>
  <si>
    <t>Other Liabilities</t>
  </si>
  <si>
    <t>Provisions</t>
  </si>
  <si>
    <t>Bank Loans</t>
  </si>
  <si>
    <t>Finance Lease Liabilities</t>
  </si>
  <si>
    <t>Provision for Taxation</t>
  </si>
  <si>
    <t>Total Current Liabilities</t>
  </si>
  <si>
    <t>Share capital</t>
  </si>
  <si>
    <t>Retained earnings</t>
  </si>
  <si>
    <t>Foreign currency translation reserve</t>
  </si>
  <si>
    <t>Shareholders' Equity</t>
  </si>
  <si>
    <t>Total Liabilities &amp; Shareholders' Equity</t>
  </si>
  <si>
    <t>Balance Check ✓</t>
  </si>
  <si>
    <t>Cash Flow Statement</t>
  </si>
  <si>
    <t>Depreciation &amp; Amortization</t>
  </si>
  <si>
    <t>Net Impairment Losses</t>
  </si>
  <si>
    <t>Net Provisions</t>
  </si>
  <si>
    <t>Gain / (Loss) on Disposal / Lease Modification</t>
  </si>
  <si>
    <t>Net Finance Income</t>
  </si>
  <si>
    <t>FX Gains / (Loss)</t>
  </si>
  <si>
    <t>Operating Profit Before WC Changes</t>
  </si>
  <si>
    <t>Change in Accounts Receivable</t>
  </si>
  <si>
    <t>Change in Accounts Payable</t>
  </si>
  <si>
    <t>Change in Inventory</t>
  </si>
  <si>
    <t>Change in Other Liabilities</t>
  </si>
  <si>
    <t>Change in Other Current Assets</t>
  </si>
  <si>
    <t>Taxes Paid</t>
  </si>
  <si>
    <t>Net Cash from Operations</t>
  </si>
  <si>
    <t>Purchase of PP&amp;E</t>
  </si>
  <si>
    <t>Purchase of Intangible Assets</t>
  </si>
  <si>
    <t>Proceeds from Disposal of PP&amp;E</t>
  </si>
  <si>
    <t>Other Investing Outflows</t>
  </si>
  <si>
    <t>Interest Income Received</t>
  </si>
  <si>
    <t>Net Cash from Investing</t>
  </si>
  <si>
    <t>Repayment of lease liabilities / bank loans</t>
  </si>
  <si>
    <t>Interest Paid</t>
  </si>
  <si>
    <t>Dividends Paid</t>
  </si>
  <si>
    <t>Net Cash from Financing</t>
  </si>
  <si>
    <t>Net Increase in Cash</t>
  </si>
  <si>
    <t>Opening Cash Balance</t>
  </si>
  <si>
    <t>Closing Cash Balance</t>
  </si>
  <si>
    <t>Supporting Schedules</t>
  </si>
  <si>
    <t>PPE Schedule</t>
  </si>
  <si>
    <t>Opening PPE</t>
  </si>
  <si>
    <t>(+) CapEx</t>
  </si>
  <si>
    <t>(+) Other (FX/Reclassifications/Rounding)</t>
  </si>
  <si>
    <t>(-) Disposal/Write-offs</t>
  </si>
  <si>
    <t>(-) Depreciation (% of Opening PPE)</t>
  </si>
  <si>
    <t>Closing PPE</t>
  </si>
  <si>
    <t xml:space="preserve">ROU Assets </t>
  </si>
  <si>
    <t>Opening ROU</t>
  </si>
  <si>
    <t>(+) New Leases / Remeasurements</t>
  </si>
  <si>
    <t>(-) Impairment of ROU</t>
  </si>
  <si>
    <t>(-) Depreciation of ROU</t>
  </si>
  <si>
    <t>Closing ROU</t>
  </si>
  <si>
    <t>Lease Liabilities Schedule</t>
  </si>
  <si>
    <t>Incremental Borrowing Rate</t>
  </si>
  <si>
    <t>Annual Lease Payments</t>
  </si>
  <si>
    <t>Opening Lease Liability</t>
  </si>
  <si>
    <t>Interest Expense</t>
  </si>
  <si>
    <t>Total Lease Payments</t>
  </si>
  <si>
    <t>Principal Payment</t>
  </si>
  <si>
    <t>Closing Lease Liability</t>
  </si>
  <si>
    <t>Debt Schedule</t>
  </si>
  <si>
    <t>Bank Loans - Opening Balance</t>
  </si>
  <si>
    <t>(+) New Bank Loans</t>
  </si>
  <si>
    <t>(-) Bank Loan Repayments (Principal)</t>
  </si>
  <si>
    <t>Closing Bank Loans</t>
  </si>
  <si>
    <t>Finance Leases</t>
  </si>
  <si>
    <t>Opening Balance</t>
  </si>
  <si>
    <t>(+) New Finance Leases</t>
  </si>
  <si>
    <t>(-) Finance Lease Repayments (Principal)</t>
  </si>
  <si>
    <t>Closing Finance Leases</t>
  </si>
  <si>
    <t>Total Debt Opening</t>
  </si>
  <si>
    <t>Bank Loan Interest Rate</t>
  </si>
  <si>
    <t>Finance Lease Interest Rate</t>
  </si>
  <si>
    <t>Bank Loan Interest Expense</t>
  </si>
  <si>
    <t>Finance Lease Interest Expense</t>
  </si>
  <si>
    <t>Total Debt Interest Expense</t>
  </si>
  <si>
    <t>Days in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</si>
</sst>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0.0%"/>
    <numFmt numFmtId="166" formatCode="0.0"/>
    <numFmt numFmtId="167" formatCode="#,##0.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sz val="12"/>
      <color rgb="FF0000FF"/>
      <name val="Arial Narrow"/>
      <family val="2"/>
    </font>
    <font>
      <b/>
      <sz val="12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/>
  </cellStyleXfs>
  <cellXfs count="42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Continuous"/>
    </xf>
    <xf numFmtId="0" fontId="2" fillId="3" borderId="0" xfId="0" applyFont="1" applyFill="1" applyAlignment="1">
      <alignment horizontal="centerContinuous"/>
    </xf>
    <xf numFmtId="0" fontId="2" fillId="0" borderId="0" xfId="0" applyFont="1" applyAlignment="1">
      <alignment horizontal="centerContinuous"/>
    </xf>
    <xf numFmtId="0" fontId="3" fillId="4" borderId="0" xfId="0" applyFont="1" applyFill="1"/>
    <xf numFmtId="0" fontId="3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2" fillId="0" borderId="0" xfId="0" applyFont="1" applyAlignment="1">
      <alignment horizontal="left" indent="2"/>
    </xf>
    <xf numFmtId="164" fontId="4" fillId="0" borderId="0" xfId="0" applyNumberFormat="1" applyFont="1"/>
    <xf numFmtId="3" fontId="2" fillId="0" borderId="0" xfId="0" applyNumberFormat="1" applyFont="1"/>
    <xf numFmtId="164" fontId="2" fillId="0" borderId="0" xfId="0" applyNumberFormat="1" applyFont="1"/>
    <xf numFmtId="0" fontId="5" fillId="0" borderId="2" xfId="0" applyFont="1" applyBorder="1"/>
    <xf numFmtId="164" fontId="5" fillId="0" borderId="2" xfId="0" applyNumberFormat="1" applyFont="1" applyBorder="1"/>
    <xf numFmtId="164" fontId="5" fillId="0" borderId="0" xfId="0" applyNumberFormat="1" applyFont="1"/>
    <xf numFmtId="3" fontId="5" fillId="0" borderId="0" xfId="0" applyNumberFormat="1" applyFont="1"/>
    <xf numFmtId="0" fontId="5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64" fontId="5" fillId="0" borderId="1" xfId="0" applyNumberFormat="1" applyFont="1" applyBorder="1"/>
    <xf numFmtId="0" fontId="5" fillId="0" borderId="0" xfId="0" applyFont="1" applyAlignment="1">
      <alignment horizontal="left"/>
    </xf>
    <xf numFmtId="0" fontId="5" fillId="0" borderId="0" xfId="0" applyFont="1"/>
    <xf numFmtId="0" fontId="2" fillId="0" borderId="0" xfId="0" applyFont="1" applyAlignment="1">
      <alignment horizontal="left" indent="1"/>
    </xf>
    <xf numFmtId="3" fontId="5" fillId="0" borderId="2" xfId="0" applyNumberFormat="1" applyFont="1" applyBorder="1"/>
    <xf numFmtId="0" fontId="5" fillId="0" borderId="3" xfId="0" applyFont="1" applyBorder="1"/>
    <xf numFmtId="3" fontId="5" fillId="0" borderId="3" xfId="0" applyNumberFormat="1" applyFont="1" applyBorder="1"/>
    <xf numFmtId="0" fontId="5" fillId="0" borderId="1" xfId="0" applyFont="1" applyBorder="1"/>
    <xf numFmtId="3" fontId="5" fillId="0" borderId="1" xfId="0" applyNumberFormat="1" applyFont="1" applyBorder="1"/>
    <xf numFmtId="0" fontId="5" fillId="5" borderId="0" xfId="0" applyFont="1" applyFill="1"/>
    <xf numFmtId="0" fontId="2" fillId="5" borderId="0" xfId="0" applyFont="1" applyFill="1"/>
    <xf numFmtId="164" fontId="2" fillId="5" borderId="0" xfId="0" applyNumberFormat="1" applyFont="1" applyFill="1"/>
    <xf numFmtId="0" fontId="5" fillId="0" borderId="2" xfId="0" applyFont="1" applyBorder="1" applyAlignment="1">
      <alignment horizontal="left" indent="1"/>
    </xf>
    <xf numFmtId="0" fontId="2" fillId="2" borderId="4" xfId="0" applyFont="1" applyFill="1" applyBorder="1"/>
    <xf numFmtId="165" fontId="4" fillId="2" borderId="4" xfId="0" applyNumberFormat="1" applyFont="1" applyFill="1" applyBorder="1"/>
    <xf numFmtId="164" fontId="4" fillId="2" borderId="4" xfId="0" applyNumberFormat="1" applyFont="1" applyFill="1" applyBorder="1"/>
    <xf numFmtId="9" fontId="5" fillId="0" borderId="2" xfId="1" applyFont="1" applyBorder="1" applyAlignment="1">
      <alignment horizontal="left" indent="1"/>
    </xf>
    <xf numFmtId="164" fontId="5" fillId="5" borderId="0" xfId="0" applyNumberFormat="1" applyFont="1" applyFill="1"/>
    <xf numFmtId="165" fontId="4" fillId="0" borderId="0" xfId="0" applyNumberFormat="1" applyFont="1"/>
    <xf numFmtId="165" fontId="5" fillId="0" borderId="0" xfId="0" applyNumberFormat="1" applyFont="1"/>
    <xf numFmtId="166" fontId="4" fillId="0" borderId="0" xfId="0" applyNumberFormat="1" applyFont="1"/>
    <xf numFmtId="0" fontId="4" fillId="0" borderId="0" xfId="0" applyFont="1"/>
    <xf numFmtId="167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  <color rgb="FF4D4D4D"/>
      <color rgb="FFFCC5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37"/>
  <sheetViews>
    <sheetView showGridLines="0" tabSelected="1" topLeftCell="A63" zoomScaleNormal="100" workbookViewId="0">
      <selection activeCell="L84" sqref="L84"/>
    </sheetView>
  </sheetViews>
  <sheetFormatPr defaultRowHeight="15.75" x14ac:dyDescent="0.25"/>
  <cols>
    <col min="1" max="1" width="2.7109375" style="1" customWidth="1"/>
    <col min="2" max="2" width="45.7109375" style="1" customWidth="1"/>
    <col min="3" max="10" width="11.7109375" style="1" customWidth="1"/>
    <col min="11" max="11" width="2.7109375" style="1" customWidth="1"/>
    <col min="12" max="12" width="35.7109375" style="1" customWidth="1"/>
    <col min="13" max="25" width="11.7109375" style="1" customWidth="1"/>
    <col min="26" max="29" width="9.140625" style="1" customWidth="1"/>
    <col min="30" max="16384" width="9.140625" style="1"/>
  </cols>
  <sheetData>
    <row r="1" spans="2:12" x14ac:dyDescent="0.25">
      <c r="C1" s="2" t="s">
        <v>0</v>
      </c>
      <c r="D1" s="2"/>
      <c r="E1" s="2"/>
      <c r="F1" s="3" t="s">
        <v>1</v>
      </c>
      <c r="G1" s="3"/>
      <c r="H1" s="3"/>
      <c r="I1" s="3"/>
      <c r="J1" s="3"/>
      <c r="K1" s="4"/>
    </row>
    <row r="2" spans="2:12" x14ac:dyDescent="0.25">
      <c r="B2" s="5" t="s">
        <v>2</v>
      </c>
      <c r="C2" s="5">
        <v>2022</v>
      </c>
      <c r="D2" s="5">
        <f t="shared" ref="D2:J2" si="0">C2+1</f>
        <v>2023</v>
      </c>
      <c r="E2" s="5">
        <f t="shared" si="0"/>
        <v>2024</v>
      </c>
      <c r="F2" s="5">
        <f t="shared" si="0"/>
        <v>2025</v>
      </c>
      <c r="G2" s="5">
        <f t="shared" si="0"/>
        <v>2026</v>
      </c>
      <c r="H2" s="5">
        <f t="shared" si="0"/>
        <v>2027</v>
      </c>
      <c r="I2" s="5">
        <f t="shared" si="0"/>
        <v>2028</v>
      </c>
      <c r="J2" s="5">
        <f t="shared" si="0"/>
        <v>2029</v>
      </c>
      <c r="K2" s="6"/>
    </row>
    <row r="3" spans="2:12" x14ac:dyDescent="0.25">
      <c r="B3" s="1" t="s">
        <v>3</v>
      </c>
      <c r="D3" s="7">
        <f>D17/C17-1</f>
        <v>0.15869553995457353</v>
      </c>
      <c r="E3" s="7">
        <f>E17/D17-1</f>
        <v>0.12438603330177656</v>
      </c>
      <c r="F3" s="37">
        <v>0.09</v>
      </c>
      <c r="G3" s="37">
        <v>0.09</v>
      </c>
      <c r="H3" s="37">
        <v>0.09</v>
      </c>
      <c r="I3" s="37">
        <v>0.09</v>
      </c>
      <c r="J3" s="37">
        <v>0.09</v>
      </c>
      <c r="K3" s="7"/>
    </row>
    <row r="4" spans="2:12" x14ac:dyDescent="0.25">
      <c r="B4" s="1" t="s">
        <v>4</v>
      </c>
      <c r="C4" s="7">
        <f>-C18/C17</f>
        <v>0.35730693784844103</v>
      </c>
      <c r="D4" s="7">
        <f>-D18/D17</f>
        <v>0.35100517903881495</v>
      </c>
      <c r="E4" s="7">
        <f>-E18/E17</f>
        <v>0.32413103127197807</v>
      </c>
      <c r="F4" s="37">
        <f>AVERAGE(C4:E4)</f>
        <v>0.34414771605307798</v>
      </c>
      <c r="G4" s="37">
        <f t="shared" ref="G4:J6" si="1">F4</f>
        <v>0.34414771605307798</v>
      </c>
      <c r="H4" s="37">
        <f t="shared" si="1"/>
        <v>0.34414771605307798</v>
      </c>
      <c r="I4" s="37">
        <f t="shared" si="1"/>
        <v>0.34414771605307798</v>
      </c>
      <c r="J4" s="37">
        <f t="shared" si="1"/>
        <v>0.34414771605307798</v>
      </c>
      <c r="K4" s="7"/>
    </row>
    <row r="5" spans="2:12" x14ac:dyDescent="0.25">
      <c r="B5" s="1" t="s">
        <v>5</v>
      </c>
      <c r="C5" s="7">
        <f>C21/C17</f>
        <v>7.9057402436506302E-2</v>
      </c>
      <c r="D5" s="7">
        <f>D21/D17</f>
        <v>1.9067773013309572E-2</v>
      </c>
      <c r="E5" s="7">
        <f>E21/E17</f>
        <v>2.1822035996949075E-2</v>
      </c>
      <c r="F5" s="37">
        <f>AVERAGE(D5:E5)</f>
        <v>2.0444904505129324E-2</v>
      </c>
      <c r="G5" s="37">
        <f t="shared" si="1"/>
        <v>2.0444904505129324E-2</v>
      </c>
      <c r="H5" s="37">
        <f t="shared" si="1"/>
        <v>2.0444904505129324E-2</v>
      </c>
      <c r="I5" s="37">
        <f t="shared" si="1"/>
        <v>2.0444904505129324E-2</v>
      </c>
      <c r="J5" s="37">
        <f t="shared" si="1"/>
        <v>2.0444904505129324E-2</v>
      </c>
      <c r="K5" s="7"/>
    </row>
    <row r="6" spans="2:12" x14ac:dyDescent="0.25">
      <c r="B6" s="1" t="s">
        <v>6</v>
      </c>
      <c r="C6" s="7">
        <f>-C22/C17</f>
        <v>0.61055905430518276</v>
      </c>
      <c r="D6" s="7">
        <f>-D22/D17</f>
        <v>0.55465835050398171</v>
      </c>
      <c r="E6" s="7">
        <f>-E22/E17</f>
        <v>0.55608055233623566</v>
      </c>
      <c r="F6" s="37">
        <f>AVERAGE(C6:E6)</f>
        <v>0.57376598571513338</v>
      </c>
      <c r="G6" s="37">
        <f t="shared" si="1"/>
        <v>0.57376598571513338</v>
      </c>
      <c r="H6" s="37">
        <f t="shared" si="1"/>
        <v>0.57376598571513338</v>
      </c>
      <c r="I6" s="37">
        <f t="shared" si="1"/>
        <v>0.57376598571513338</v>
      </c>
      <c r="J6" s="37">
        <f t="shared" si="1"/>
        <v>0.57376598571513338</v>
      </c>
      <c r="K6" s="7"/>
    </row>
    <row r="7" spans="2:12" x14ac:dyDescent="0.25">
      <c r="B7" s="1" t="s">
        <v>7</v>
      </c>
      <c r="C7" s="8">
        <f>(C39/-C18)*365</f>
        <v>15.503304800086681</v>
      </c>
      <c r="D7" s="8">
        <f>(D39/-D18)*365</f>
        <v>11.616531810249088</v>
      </c>
      <c r="E7" s="8">
        <f>(E39/-E18)*365</f>
        <v>18.115029643664812</v>
      </c>
      <c r="F7" s="39">
        <v>15</v>
      </c>
      <c r="G7" s="39">
        <v>15</v>
      </c>
      <c r="H7" s="39">
        <v>15</v>
      </c>
      <c r="I7" s="39">
        <v>15</v>
      </c>
      <c r="J7" s="39">
        <v>15</v>
      </c>
      <c r="K7" s="8"/>
    </row>
    <row r="8" spans="2:12" x14ac:dyDescent="0.25">
      <c r="B8" s="1" t="s">
        <v>8</v>
      </c>
      <c r="C8" s="8">
        <f>(C40/C17)*365</f>
        <v>1.2199953541193476</v>
      </c>
      <c r="D8" s="8">
        <f>(D40/D17)*365</f>
        <v>1.9635239739377404</v>
      </c>
      <c r="E8" s="8">
        <f>(E40/E17)*365</f>
        <v>3.5830039721454541</v>
      </c>
      <c r="F8" s="39">
        <f>E8</f>
        <v>3.5830039721454541</v>
      </c>
      <c r="G8" s="39">
        <f>F8</f>
        <v>3.5830039721454541</v>
      </c>
      <c r="H8" s="39">
        <f>G8</f>
        <v>3.5830039721454541</v>
      </c>
      <c r="I8" s="39">
        <f>H8</f>
        <v>3.5830039721454541</v>
      </c>
      <c r="J8" s="39">
        <f>I8</f>
        <v>3.5830039721454541</v>
      </c>
      <c r="K8" s="8"/>
    </row>
    <row r="9" spans="2:12" x14ac:dyDescent="0.25">
      <c r="B9" s="1" t="s">
        <v>9</v>
      </c>
      <c r="C9" s="8">
        <f>(C50/-C18)*365</f>
        <v>94.232672373315992</v>
      </c>
      <c r="D9" s="8">
        <f>(D50/-D18)*365</f>
        <v>98.375694113914008</v>
      </c>
      <c r="E9" s="8">
        <f>(E50/-E18)*365</f>
        <v>124.3512010268321</v>
      </c>
      <c r="F9" s="39">
        <v>105</v>
      </c>
      <c r="G9" s="39">
        <v>105</v>
      </c>
      <c r="H9" s="39">
        <v>105</v>
      </c>
      <c r="I9" s="39">
        <v>105</v>
      </c>
      <c r="J9" s="39">
        <v>105</v>
      </c>
      <c r="K9" s="8"/>
    </row>
    <row r="10" spans="2:12" x14ac:dyDescent="0.25">
      <c r="B10" s="1" t="s">
        <v>10</v>
      </c>
      <c r="C10" s="7">
        <f>C51/C17</f>
        <v>1.8325418129258725E-3</v>
      </c>
      <c r="D10" s="7">
        <f>D51/D17</f>
        <v>1.5704182213064544E-3</v>
      </c>
      <c r="E10" s="7">
        <f>E51/E17</f>
        <v>1.4363119471437205E-3</v>
      </c>
      <c r="F10" s="37">
        <f>AVERAGE(C10:E10)</f>
        <v>1.6130906604586825E-3</v>
      </c>
      <c r="G10" s="37">
        <f t="shared" ref="G10:J11" si="2">F10</f>
        <v>1.6130906604586825E-3</v>
      </c>
      <c r="H10" s="37">
        <f t="shared" si="2"/>
        <v>1.6130906604586825E-3</v>
      </c>
      <c r="I10" s="37">
        <f t="shared" si="2"/>
        <v>1.6130906604586825E-3</v>
      </c>
      <c r="J10" s="37">
        <f t="shared" si="2"/>
        <v>1.6130906604586825E-3</v>
      </c>
      <c r="K10" s="7"/>
    </row>
    <row r="11" spans="2:12" x14ac:dyDescent="0.25">
      <c r="B11" s="1" t="s">
        <v>11</v>
      </c>
      <c r="C11" s="7">
        <f>C52/C32</f>
        <v>0.12708122772487898</v>
      </c>
      <c r="D11" s="7">
        <f>D52/D32</f>
        <v>0.12759848397840817</v>
      </c>
      <c r="E11" s="7">
        <f>E52/E32</f>
        <v>0.1405418934985295</v>
      </c>
      <c r="F11" s="37">
        <f>AVERAGE(C11:E11)</f>
        <v>0.13174053506727224</v>
      </c>
      <c r="G11" s="37">
        <f t="shared" si="2"/>
        <v>0.13174053506727224</v>
      </c>
      <c r="H11" s="37">
        <f t="shared" si="2"/>
        <v>0.13174053506727224</v>
      </c>
      <c r="I11" s="37">
        <f t="shared" si="2"/>
        <v>0.13174053506727224</v>
      </c>
      <c r="J11" s="37">
        <f t="shared" si="2"/>
        <v>0.13174053506727224</v>
      </c>
      <c r="K11" s="7"/>
    </row>
    <row r="12" spans="2:12" x14ac:dyDescent="0.25">
      <c r="B12" s="1" t="s">
        <v>12</v>
      </c>
      <c r="C12" s="7">
        <f>-C27/C26</f>
        <v>9.2856001278568009E-2</v>
      </c>
      <c r="D12" s="7">
        <f>-D27/D26</f>
        <v>0.19660352710646636</v>
      </c>
      <c r="E12" s="7">
        <f>-E27/E26</f>
        <v>0.22668373060310351</v>
      </c>
      <c r="F12" s="37">
        <f>AVERAGE(C12:E12)</f>
        <v>0.17204775299604594</v>
      </c>
      <c r="G12" s="37">
        <f>F12</f>
        <v>0.17204775299604594</v>
      </c>
      <c r="H12" s="37">
        <f>F12</f>
        <v>0.17204775299604594</v>
      </c>
      <c r="I12" s="37">
        <f>F12</f>
        <v>0.17204775299604594</v>
      </c>
      <c r="J12" s="37">
        <f>F12</f>
        <v>0.17204775299604594</v>
      </c>
      <c r="K12" s="7"/>
      <c r="L12" s="21"/>
    </row>
    <row r="13" spans="2:12" x14ac:dyDescent="0.25">
      <c r="B13" s="1" t="s">
        <v>124</v>
      </c>
      <c r="C13" s="40">
        <v>365</v>
      </c>
      <c r="D13" s="40">
        <v>365</v>
      </c>
      <c r="E13" s="40">
        <v>365</v>
      </c>
      <c r="F13" s="40">
        <v>365</v>
      </c>
      <c r="G13" s="40">
        <v>365</v>
      </c>
      <c r="H13" s="40">
        <v>365</v>
      </c>
      <c r="I13" s="40">
        <v>365</v>
      </c>
      <c r="J13" s="40">
        <v>365</v>
      </c>
      <c r="K13" s="7"/>
      <c r="L13" s="21"/>
    </row>
    <row r="14" spans="2:12" x14ac:dyDescent="0.25">
      <c r="C14" s="7"/>
      <c r="D14" s="7"/>
      <c r="E14" s="7"/>
      <c r="F14" s="7"/>
      <c r="G14" s="7"/>
      <c r="H14" s="7"/>
      <c r="I14" s="7"/>
      <c r="J14" s="7"/>
      <c r="K14" s="7"/>
      <c r="L14" s="21"/>
    </row>
    <row r="15" spans="2:12" x14ac:dyDescent="0.25">
      <c r="C15" s="2" t="s">
        <v>0</v>
      </c>
      <c r="D15" s="2"/>
      <c r="E15" s="2"/>
      <c r="F15" s="3" t="s">
        <v>1</v>
      </c>
      <c r="G15" s="3"/>
      <c r="H15" s="3"/>
      <c r="I15" s="3"/>
      <c r="J15" s="3"/>
      <c r="K15" s="4"/>
    </row>
    <row r="16" spans="2:12" x14ac:dyDescent="0.25">
      <c r="B16" s="5" t="s">
        <v>13</v>
      </c>
      <c r="C16" s="5">
        <v>2022</v>
      </c>
      <c r="D16" s="5">
        <f t="shared" ref="D16:J16" si="3">C16+1</f>
        <v>2023</v>
      </c>
      <c r="E16" s="5">
        <f t="shared" si="3"/>
        <v>2024</v>
      </c>
      <c r="F16" s="5">
        <f t="shared" si="3"/>
        <v>2025</v>
      </c>
      <c r="G16" s="5">
        <f t="shared" si="3"/>
        <v>2026</v>
      </c>
      <c r="H16" s="5">
        <f t="shared" si="3"/>
        <v>2027</v>
      </c>
      <c r="I16" s="5">
        <f t="shared" si="3"/>
        <v>2028</v>
      </c>
      <c r="J16" s="5">
        <f t="shared" si="3"/>
        <v>2029</v>
      </c>
      <c r="K16" s="6"/>
    </row>
    <row r="17" spans="2:11" x14ac:dyDescent="0.25">
      <c r="B17" s="9" t="s">
        <v>14</v>
      </c>
      <c r="C17" s="10">
        <v>77488</v>
      </c>
      <c r="D17" s="10">
        <v>89785</v>
      </c>
      <c r="E17" s="10">
        <v>100953</v>
      </c>
      <c r="F17" s="11">
        <f>E17*(1+F3)</f>
        <v>110038.77</v>
      </c>
      <c r="G17" s="11">
        <f>F17*(1+G3)</f>
        <v>119942.25930000002</v>
      </c>
      <c r="H17" s="11">
        <f>G17*(1+H3)</f>
        <v>130737.06263700002</v>
      </c>
      <c r="I17" s="11">
        <f>H17*(1+I3)</f>
        <v>142503.39827433004</v>
      </c>
      <c r="J17" s="11">
        <f>I17*(1+J3)</f>
        <v>155328.70411901976</v>
      </c>
      <c r="K17" s="11"/>
    </row>
    <row r="18" spans="2:11" x14ac:dyDescent="0.25">
      <c r="B18" s="9" t="s">
        <v>15</v>
      </c>
      <c r="C18" s="10">
        <v>-27687</v>
      </c>
      <c r="D18" s="10">
        <v>-31515</v>
      </c>
      <c r="E18" s="10">
        <v>-32722</v>
      </c>
      <c r="F18" s="12">
        <f>-(F17*F4)</f>
        <v>-37869.591372789953</v>
      </c>
      <c r="G18" s="12">
        <f>-(G17*G4)</f>
        <v>-41277.854596341058</v>
      </c>
      <c r="H18" s="12">
        <f>-(H17*H4)</f>
        <v>-44992.861510011753</v>
      </c>
      <c r="I18" s="12">
        <f>-(I17*I4)</f>
        <v>-49042.219045912818</v>
      </c>
      <c r="J18" s="12">
        <f>-(J17*J4)</f>
        <v>-53456.018760044979</v>
      </c>
      <c r="K18" s="12"/>
    </row>
    <row r="19" spans="2:11" x14ac:dyDescent="0.25">
      <c r="B19" s="13" t="s">
        <v>16</v>
      </c>
      <c r="C19" s="14">
        <f t="shared" ref="C19:J19" si="4">C17+C18</f>
        <v>49801</v>
      </c>
      <c r="D19" s="14">
        <f t="shared" si="4"/>
        <v>58270</v>
      </c>
      <c r="E19" s="14">
        <f t="shared" si="4"/>
        <v>68231</v>
      </c>
      <c r="F19" s="14">
        <f t="shared" si="4"/>
        <v>72169.178627210058</v>
      </c>
      <c r="G19" s="14">
        <f t="shared" si="4"/>
        <v>78664.404703658962</v>
      </c>
      <c r="H19" s="14">
        <f t="shared" si="4"/>
        <v>85744.201126988279</v>
      </c>
      <c r="I19" s="14">
        <f t="shared" si="4"/>
        <v>93461.179228417226</v>
      </c>
      <c r="J19" s="14">
        <f t="shared" si="4"/>
        <v>101872.68535897479</v>
      </c>
      <c r="K19" s="15"/>
    </row>
    <row r="20" spans="2:11" x14ac:dyDescent="0.25">
      <c r="B20" s="9" t="s">
        <v>17</v>
      </c>
      <c r="C20" s="10">
        <v>42</v>
      </c>
      <c r="D20" s="10">
        <v>414</v>
      </c>
      <c r="E20" s="10">
        <v>1080</v>
      </c>
      <c r="F20" s="11">
        <f>0.012*(E38+E43)</f>
        <v>559.17600000000004</v>
      </c>
      <c r="G20" s="11">
        <f>0.012*(F38+F43)</f>
        <v>642.29852895974443</v>
      </c>
      <c r="H20" s="11">
        <f>0.012*(G38+G43)</f>
        <v>746.32901910099724</v>
      </c>
      <c r="I20" s="11">
        <f>0.012*(H38+H43)</f>
        <v>863.24501798588972</v>
      </c>
      <c r="J20" s="11">
        <f>0.012*(I38+I43)</f>
        <v>994.44331225450833</v>
      </c>
      <c r="K20" s="16"/>
    </row>
    <row r="21" spans="2:11" x14ac:dyDescent="0.25">
      <c r="B21" s="9" t="s">
        <v>18</v>
      </c>
      <c r="C21" s="10">
        <v>6126</v>
      </c>
      <c r="D21" s="10">
        <v>1712</v>
      </c>
      <c r="E21" s="10">
        <v>2203</v>
      </c>
      <c r="F21" s="16">
        <f>F5*F17</f>
        <v>2249.7321445118896</v>
      </c>
      <c r="G21" s="16">
        <f>G5*G17</f>
        <v>2452.2080375179598</v>
      </c>
      <c r="H21" s="16">
        <f>H5*H17</f>
        <v>2672.9067608945766</v>
      </c>
      <c r="I21" s="16">
        <f>I5*I17</f>
        <v>2913.4683693750885</v>
      </c>
      <c r="J21" s="16">
        <f>J5*J17</f>
        <v>3175.6805226188467</v>
      </c>
      <c r="K21" s="16"/>
    </row>
    <row r="22" spans="2:11" x14ac:dyDescent="0.25">
      <c r="B22" s="9" t="s">
        <v>19</v>
      </c>
      <c r="C22" s="10">
        <f>-34488-12823</f>
        <v>-47311</v>
      </c>
      <c r="D22" s="10">
        <f>-35788-14012</f>
        <v>-49800</v>
      </c>
      <c r="E22" s="10">
        <f>-39833-16305</f>
        <v>-56138</v>
      </c>
      <c r="F22" s="12">
        <f>-F6*F17</f>
        <v>-63136.503335930851</v>
      </c>
      <c r="G22" s="12">
        <f>-G6*G17</f>
        <v>-68818.788636164638</v>
      </c>
      <c r="H22" s="12">
        <f>-H6*H17</f>
        <v>-75012.479613419448</v>
      </c>
      <c r="I22" s="12">
        <f>-I6*I17</f>
        <v>-81763.602778627217</v>
      </c>
      <c r="J22" s="12">
        <f>-J6*J17</f>
        <v>-89122.327028703672</v>
      </c>
      <c r="K22" s="12"/>
    </row>
    <row r="23" spans="2:11" x14ac:dyDescent="0.25">
      <c r="B23" s="9" t="s">
        <v>20</v>
      </c>
      <c r="C23" s="10">
        <v>-1804</v>
      </c>
      <c r="D23" s="10">
        <v>-2236</v>
      </c>
      <c r="E23" s="10">
        <v>-1786</v>
      </c>
      <c r="F23" s="12">
        <f>AVERAGE(C23:E23)</f>
        <v>-1942</v>
      </c>
      <c r="G23" s="12">
        <f>AVERAGE(D23:F23)</f>
        <v>-1988</v>
      </c>
      <c r="H23" s="12">
        <f>AVERAGE(E23:G23)</f>
        <v>-1905.3333333333333</v>
      </c>
      <c r="I23" s="12">
        <f>AVERAGE(F23:H23)</f>
        <v>-1945.1111111111111</v>
      </c>
      <c r="J23" s="12">
        <f>AVERAGE(G23:I23)</f>
        <v>-1946.148148148148</v>
      </c>
      <c r="K23" s="12"/>
    </row>
    <row r="24" spans="2:11" x14ac:dyDescent="0.25">
      <c r="B24" s="13" t="s">
        <v>21</v>
      </c>
      <c r="C24" s="14">
        <f t="shared" ref="C24:J24" si="5">C19+SUM(C20:C23)</f>
        <v>6854</v>
      </c>
      <c r="D24" s="14">
        <f t="shared" si="5"/>
        <v>8360</v>
      </c>
      <c r="E24" s="14">
        <f t="shared" si="5"/>
        <v>13590</v>
      </c>
      <c r="F24" s="14">
        <f t="shared" si="5"/>
        <v>9899.5834357910935</v>
      </c>
      <c r="G24" s="14">
        <f t="shared" si="5"/>
        <v>10952.122633972031</v>
      </c>
      <c r="H24" s="14">
        <f t="shared" si="5"/>
        <v>12245.623960231082</v>
      </c>
      <c r="I24" s="14">
        <f t="shared" si="5"/>
        <v>13529.178726039871</v>
      </c>
      <c r="J24" s="14">
        <f t="shared" si="5"/>
        <v>14974.334016996334</v>
      </c>
      <c r="K24" s="15"/>
    </row>
    <row r="25" spans="2:11" x14ac:dyDescent="0.25">
      <c r="B25" s="9" t="s">
        <v>22</v>
      </c>
      <c r="C25" s="10">
        <v>-597</v>
      </c>
      <c r="D25" s="10">
        <v>-705</v>
      </c>
      <c r="E25" s="10">
        <v>-1088</v>
      </c>
      <c r="F25" s="12">
        <f>F114+F133</f>
        <v>-1226.655</v>
      </c>
      <c r="G25" s="12">
        <f>G114+G133</f>
        <v>-1211.5152</v>
      </c>
      <c r="H25" s="12">
        <f>H114+H133</f>
        <v>-1197.2861639999999</v>
      </c>
      <c r="I25" s="12">
        <f>I114+I133</f>
        <v>-1184.0088763800002</v>
      </c>
      <c r="J25" s="12">
        <f>J114+J133</f>
        <v>-1171.7261658170999</v>
      </c>
      <c r="K25" s="12"/>
    </row>
    <row r="26" spans="2:11" x14ac:dyDescent="0.25">
      <c r="B26" s="17" t="s">
        <v>23</v>
      </c>
      <c r="C26" s="14">
        <f t="shared" ref="C26:J26" si="6">C24+C25</f>
        <v>6257</v>
      </c>
      <c r="D26" s="14">
        <f t="shared" si="6"/>
        <v>7655</v>
      </c>
      <c r="E26" s="14">
        <f t="shared" si="6"/>
        <v>12502</v>
      </c>
      <c r="F26" s="14">
        <f t="shared" si="6"/>
        <v>8672.9284357910929</v>
      </c>
      <c r="G26" s="14">
        <f t="shared" si="6"/>
        <v>9740.6074339720308</v>
      </c>
      <c r="H26" s="14">
        <f t="shared" si="6"/>
        <v>11048.337796231082</v>
      </c>
      <c r="I26" s="14">
        <f t="shared" si="6"/>
        <v>12345.169849659871</v>
      </c>
      <c r="J26" s="14">
        <f t="shared" si="6"/>
        <v>13802.607851179235</v>
      </c>
      <c r="K26" s="15"/>
    </row>
    <row r="27" spans="2:11" x14ac:dyDescent="0.25">
      <c r="B27" s="9" t="s">
        <v>24</v>
      </c>
      <c r="C27" s="10">
        <v>-581</v>
      </c>
      <c r="D27" s="10">
        <v>-1505</v>
      </c>
      <c r="E27" s="10">
        <v>-2834</v>
      </c>
      <c r="F27" s="12">
        <f>-F26*$F$12</f>
        <v>-1492.157849273369</v>
      </c>
      <c r="G27" s="12">
        <f>-G26*$F$12</f>
        <v>-1675.8496218314688</v>
      </c>
      <c r="H27" s="12">
        <f>-H26*$F$12</f>
        <v>-1900.8416921828439</v>
      </c>
      <c r="I27" s="12">
        <f>-I26*$F$12</f>
        <v>-2123.9587329885148</v>
      </c>
      <c r="J27" s="12">
        <f>-J26*$F$12</f>
        <v>-2374.7076662809695</v>
      </c>
      <c r="K27" s="12"/>
    </row>
    <row r="28" spans="2:11" ht="16.5" customHeight="1" thickBot="1" x14ac:dyDescent="0.3">
      <c r="B28" s="18" t="s">
        <v>25</v>
      </c>
      <c r="C28" s="19">
        <f t="shared" ref="C28:J28" si="7">C26+C27</f>
        <v>5676</v>
      </c>
      <c r="D28" s="19">
        <f t="shared" si="7"/>
        <v>6150</v>
      </c>
      <c r="E28" s="19">
        <f t="shared" si="7"/>
        <v>9668</v>
      </c>
      <c r="F28" s="19">
        <f t="shared" si="7"/>
        <v>7180.770586517724</v>
      </c>
      <c r="G28" s="19">
        <f t="shared" si="7"/>
        <v>8064.7578121405622</v>
      </c>
      <c r="H28" s="19">
        <f t="shared" si="7"/>
        <v>9147.4961040482376</v>
      </c>
      <c r="I28" s="19">
        <f t="shared" si="7"/>
        <v>10221.211116671357</v>
      </c>
      <c r="J28" s="19">
        <f t="shared" si="7"/>
        <v>11427.900184898266</v>
      </c>
      <c r="K28" s="15"/>
    </row>
    <row r="29" spans="2:11" x14ac:dyDescent="0.25">
      <c r="B29" s="20"/>
      <c r="C29" s="38"/>
      <c r="D29" s="38"/>
      <c r="E29" s="38"/>
      <c r="F29" s="38"/>
      <c r="G29" s="38"/>
      <c r="H29" s="38"/>
      <c r="I29" s="38"/>
      <c r="J29" s="38"/>
      <c r="K29" s="21"/>
    </row>
    <row r="30" spans="2:11" x14ac:dyDescent="0.25">
      <c r="C30" s="2" t="s">
        <v>0</v>
      </c>
      <c r="D30" s="2"/>
      <c r="E30" s="2"/>
      <c r="F30" s="3" t="s">
        <v>1</v>
      </c>
      <c r="G30" s="3"/>
      <c r="H30" s="3"/>
      <c r="I30" s="3"/>
      <c r="J30" s="3"/>
      <c r="K30" s="4"/>
    </row>
    <row r="31" spans="2:11" x14ac:dyDescent="0.25">
      <c r="B31" s="5" t="s">
        <v>26</v>
      </c>
      <c r="C31" s="5">
        <v>2022</v>
      </c>
      <c r="D31" s="5">
        <f t="shared" ref="D31:J31" si="8">C31+1</f>
        <v>2023</v>
      </c>
      <c r="E31" s="5">
        <f t="shared" si="8"/>
        <v>2024</v>
      </c>
      <c r="F31" s="5">
        <f t="shared" si="8"/>
        <v>2025</v>
      </c>
      <c r="G31" s="5">
        <f t="shared" si="8"/>
        <v>2026</v>
      </c>
      <c r="H31" s="5">
        <f t="shared" si="8"/>
        <v>2027</v>
      </c>
      <c r="I31" s="5">
        <f t="shared" si="8"/>
        <v>2028</v>
      </c>
      <c r="J31" s="5">
        <f t="shared" si="8"/>
        <v>2029</v>
      </c>
      <c r="K31" s="6"/>
    </row>
    <row r="32" spans="2:11" x14ac:dyDescent="0.25">
      <c r="B32" s="22" t="s">
        <v>27</v>
      </c>
      <c r="C32" s="10">
        <v>18799</v>
      </c>
      <c r="D32" s="10">
        <v>17414</v>
      </c>
      <c r="E32" s="10">
        <v>15981</v>
      </c>
      <c r="F32" s="12">
        <f>F104</f>
        <v>14420.458000000001</v>
      </c>
      <c r="G32" s="12">
        <f>G104</f>
        <v>13143.934644000001</v>
      </c>
      <c r="H32" s="12">
        <f>H104</f>
        <v>12099.738538792</v>
      </c>
      <c r="I32" s="12">
        <f>I104</f>
        <v>11245.586124731857</v>
      </c>
      <c r="J32" s="12">
        <f>J104</f>
        <v>10546.88945003066</v>
      </c>
      <c r="K32" s="12"/>
    </row>
    <row r="33" spans="2:11" x14ac:dyDescent="0.25">
      <c r="B33" s="22" t="s">
        <v>28</v>
      </c>
      <c r="C33" s="10">
        <v>19318</v>
      </c>
      <c r="D33" s="10">
        <v>19005</v>
      </c>
      <c r="E33" s="10">
        <v>22178</v>
      </c>
      <c r="F33" s="12">
        <f>F110</f>
        <v>21757.126000000004</v>
      </c>
      <c r="G33" s="12">
        <f>G110</f>
        <v>21560.577842000006</v>
      </c>
      <c r="H33" s="12">
        <f>H110</f>
        <v>21468.789852214002</v>
      </c>
      <c r="I33" s="12">
        <f>I110</f>
        <v>21425.924860983941</v>
      </c>
      <c r="J33" s="12">
        <f>J110</f>
        <v>21405.906910079502</v>
      </c>
      <c r="K33" s="12"/>
    </row>
    <row r="34" spans="2:11" x14ac:dyDescent="0.25">
      <c r="B34" s="22" t="s">
        <v>29</v>
      </c>
      <c r="C34" s="10">
        <v>229</v>
      </c>
      <c r="D34" s="10">
        <v>194</v>
      </c>
      <c r="E34" s="10">
        <v>241</v>
      </c>
      <c r="F34" s="12">
        <f t="shared" ref="F34:J35" si="9">E34</f>
        <v>241</v>
      </c>
      <c r="G34" s="12">
        <f t="shared" si="9"/>
        <v>241</v>
      </c>
      <c r="H34" s="12">
        <f t="shared" si="9"/>
        <v>241</v>
      </c>
      <c r="I34" s="12">
        <f t="shared" si="9"/>
        <v>241</v>
      </c>
      <c r="J34" s="12">
        <f t="shared" si="9"/>
        <v>241</v>
      </c>
      <c r="K34" s="12"/>
    </row>
    <row r="35" spans="2:11" x14ac:dyDescent="0.25">
      <c r="B35" s="22" t="s">
        <v>30</v>
      </c>
      <c r="C35" s="10">
        <v>11</v>
      </c>
      <c r="D35" s="10">
        <v>12</v>
      </c>
      <c r="E35" s="10">
        <v>12</v>
      </c>
      <c r="F35" s="12">
        <f t="shared" si="9"/>
        <v>12</v>
      </c>
      <c r="G35" s="12">
        <f t="shared" si="9"/>
        <v>12</v>
      </c>
      <c r="H35" s="12">
        <f t="shared" si="9"/>
        <v>12</v>
      </c>
      <c r="I35" s="12">
        <f t="shared" si="9"/>
        <v>12</v>
      </c>
      <c r="J35" s="12">
        <f t="shared" si="9"/>
        <v>12</v>
      </c>
      <c r="K35" s="12"/>
    </row>
    <row r="36" spans="2:11" x14ac:dyDescent="0.25">
      <c r="B36" s="22" t="s">
        <v>31</v>
      </c>
      <c r="C36" s="10">
        <v>2472</v>
      </c>
      <c r="D36" s="10">
        <v>2361</v>
      </c>
      <c r="E36" s="10">
        <v>2512</v>
      </c>
      <c r="F36" s="12">
        <f>AVERAGE(C36:E36)</f>
        <v>2448.3333333333335</v>
      </c>
      <c r="G36" s="12">
        <f>F36</f>
        <v>2448.3333333333335</v>
      </c>
      <c r="H36" s="12">
        <f>G36</f>
        <v>2448.3333333333335</v>
      </c>
      <c r="I36" s="12">
        <f>H36</f>
        <v>2448.3333333333335</v>
      </c>
      <c r="J36" s="12">
        <f>I36</f>
        <v>2448.3333333333335</v>
      </c>
      <c r="K36" s="12"/>
    </row>
    <row r="37" spans="2:11" x14ac:dyDescent="0.25">
      <c r="B37" s="13" t="s">
        <v>32</v>
      </c>
      <c r="C37" s="23">
        <f t="shared" ref="C37:J37" si="10">SUM(C32:C36)</f>
        <v>40829</v>
      </c>
      <c r="D37" s="23">
        <f t="shared" si="10"/>
        <v>38986</v>
      </c>
      <c r="E37" s="23">
        <f t="shared" si="10"/>
        <v>40924</v>
      </c>
      <c r="F37" s="23">
        <f t="shared" si="10"/>
        <v>38878.917333333338</v>
      </c>
      <c r="G37" s="23">
        <f t="shared" si="10"/>
        <v>37405.845819333343</v>
      </c>
      <c r="H37" s="23">
        <f t="shared" si="10"/>
        <v>36269.861724339338</v>
      </c>
      <c r="I37" s="23">
        <f t="shared" si="10"/>
        <v>35372.844319049131</v>
      </c>
      <c r="J37" s="23">
        <f t="shared" si="10"/>
        <v>34654.129693443494</v>
      </c>
      <c r="K37" s="16"/>
    </row>
    <row r="38" spans="2:11" x14ac:dyDescent="0.25">
      <c r="B38" s="22" t="s">
        <v>33</v>
      </c>
      <c r="C38" s="10">
        <v>27581</v>
      </c>
      <c r="D38" s="10">
        <v>33927</v>
      </c>
      <c r="E38" s="10">
        <v>44098</v>
      </c>
      <c r="F38" s="12">
        <f>F94</f>
        <v>51024.877413312031</v>
      </c>
      <c r="G38" s="12">
        <f>G94</f>
        <v>59694.084925083102</v>
      </c>
      <c r="H38" s="12">
        <f>H94</f>
        <v>69437.084832157474</v>
      </c>
      <c r="I38" s="12">
        <f>I94</f>
        <v>80370.276021209022</v>
      </c>
      <c r="J38" s="12">
        <f>J94</f>
        <v>92719.001541631253</v>
      </c>
      <c r="K38" s="12"/>
    </row>
    <row r="39" spans="2:11" x14ac:dyDescent="0.25">
      <c r="B39" s="22" t="s">
        <v>34</v>
      </c>
      <c r="C39" s="10">
        <v>1176</v>
      </c>
      <c r="D39" s="10">
        <v>1003</v>
      </c>
      <c r="E39" s="10">
        <v>1624</v>
      </c>
      <c r="F39" s="12">
        <f>(F7/365)*-F18</f>
        <v>1556.2845769639705</v>
      </c>
      <c r="G39" s="12">
        <f>(G7/365)*-G18</f>
        <v>1696.3501888907283</v>
      </c>
      <c r="H39" s="12">
        <f>(H7/365)*-H18</f>
        <v>1849.0217058908938</v>
      </c>
      <c r="I39" s="12">
        <f>(I7/365)*-I18</f>
        <v>2015.4336594210745</v>
      </c>
      <c r="J39" s="12">
        <f>(J7/365)*-J18</f>
        <v>2196.8226887689716</v>
      </c>
      <c r="K39" s="12"/>
    </row>
    <row r="40" spans="2:11" x14ac:dyDescent="0.25">
      <c r="B40" s="22" t="s">
        <v>35</v>
      </c>
      <c r="C40" s="10">
        <v>259</v>
      </c>
      <c r="D40" s="10">
        <v>483</v>
      </c>
      <c r="E40" s="10">
        <v>991</v>
      </c>
      <c r="F40" s="12">
        <f>(F17/365)*F8</f>
        <v>1080.19</v>
      </c>
      <c r="G40" s="12">
        <f>(G17/365)*G8</f>
        <v>1177.4071000000004</v>
      </c>
      <c r="H40" s="12">
        <f>(H17/365)*H8</f>
        <v>1283.3737390000003</v>
      </c>
      <c r="I40" s="12">
        <f>(I17/365)*I8</f>
        <v>1398.8773755100005</v>
      </c>
      <c r="J40" s="12">
        <f>(J17/365)*J8</f>
        <v>1524.7763393059008</v>
      </c>
      <c r="K40" s="12"/>
    </row>
    <row r="41" spans="2:11" x14ac:dyDescent="0.25">
      <c r="B41" s="22" t="s">
        <v>36</v>
      </c>
      <c r="C41" s="10">
        <v>1307</v>
      </c>
      <c r="D41" s="10">
        <v>1236</v>
      </c>
      <c r="E41" s="10">
        <v>1022</v>
      </c>
      <c r="F41" s="12">
        <f t="shared" ref="F41:J43" si="11">E41</f>
        <v>1022</v>
      </c>
      <c r="G41" s="12">
        <f t="shared" si="11"/>
        <v>1022</v>
      </c>
      <c r="H41" s="12">
        <f t="shared" si="11"/>
        <v>1022</v>
      </c>
      <c r="I41" s="12">
        <f t="shared" si="11"/>
        <v>1022</v>
      </c>
      <c r="J41" s="12">
        <f t="shared" si="11"/>
        <v>1022</v>
      </c>
      <c r="K41" s="12"/>
    </row>
    <row r="42" spans="2:11" x14ac:dyDescent="0.25">
      <c r="B42" s="22" t="s">
        <v>37</v>
      </c>
      <c r="C42" s="10">
        <v>875</v>
      </c>
      <c r="D42" s="10">
        <v>1233</v>
      </c>
      <c r="E42" s="10">
        <v>903</v>
      </c>
      <c r="F42" s="12">
        <f t="shared" si="11"/>
        <v>903</v>
      </c>
      <c r="G42" s="12">
        <f t="shared" si="11"/>
        <v>903</v>
      </c>
      <c r="H42" s="12">
        <f t="shared" si="11"/>
        <v>903</v>
      </c>
      <c r="I42" s="12">
        <f t="shared" si="11"/>
        <v>903</v>
      </c>
      <c r="J42" s="12">
        <f t="shared" si="11"/>
        <v>903</v>
      </c>
      <c r="K42" s="12"/>
    </row>
    <row r="43" spans="2:11" x14ac:dyDescent="0.25">
      <c r="B43" s="22" t="s">
        <v>38</v>
      </c>
      <c r="C43" s="10">
        <v>2500</v>
      </c>
      <c r="D43" s="10">
        <v>2500</v>
      </c>
      <c r="E43" s="10">
        <v>2500</v>
      </c>
      <c r="F43" s="12">
        <f t="shared" si="11"/>
        <v>2500</v>
      </c>
      <c r="G43" s="12">
        <f t="shared" si="11"/>
        <v>2500</v>
      </c>
      <c r="H43" s="12">
        <f t="shared" si="11"/>
        <v>2500</v>
      </c>
      <c r="I43" s="12">
        <f t="shared" si="11"/>
        <v>2500</v>
      </c>
      <c r="J43" s="12">
        <f t="shared" si="11"/>
        <v>2500</v>
      </c>
      <c r="K43" s="12"/>
    </row>
    <row r="44" spans="2:11" x14ac:dyDescent="0.25">
      <c r="B44" s="13" t="s">
        <v>39</v>
      </c>
      <c r="C44" s="23">
        <f t="shared" ref="C44:J44" si="12">SUM(C38:C43)</f>
        <v>33698</v>
      </c>
      <c r="D44" s="23">
        <f t="shared" si="12"/>
        <v>40382</v>
      </c>
      <c r="E44" s="23">
        <f t="shared" si="12"/>
        <v>51138</v>
      </c>
      <c r="F44" s="23">
        <f t="shared" si="12"/>
        <v>58086.351990276002</v>
      </c>
      <c r="G44" s="23">
        <f t="shared" si="12"/>
        <v>66992.842213973825</v>
      </c>
      <c r="H44" s="23">
        <f t="shared" si="12"/>
        <v>76994.480277048366</v>
      </c>
      <c r="I44" s="23">
        <f t="shared" si="12"/>
        <v>88209.587056140095</v>
      </c>
      <c r="J44" s="23">
        <f t="shared" si="12"/>
        <v>100865.60056970612</v>
      </c>
      <c r="K44" s="16"/>
    </row>
    <row r="45" spans="2:11" x14ac:dyDescent="0.25">
      <c r="B45" s="22" t="s">
        <v>40</v>
      </c>
      <c r="C45" s="10">
        <v>4099</v>
      </c>
      <c r="D45" s="10">
        <v>2910</v>
      </c>
      <c r="E45" s="10">
        <v>1657</v>
      </c>
      <c r="F45" s="12">
        <f>0.5694*F122</f>
        <v>1325.5632000000001</v>
      </c>
      <c r="G45" s="12">
        <f>0.5694*G122</f>
        <v>994.17240000000004</v>
      </c>
      <c r="H45" s="12">
        <f>0.5694*H122</f>
        <v>662.78160000000003</v>
      </c>
      <c r="I45" s="12">
        <f>0.5694*I122</f>
        <v>331.39080000000001</v>
      </c>
      <c r="J45" s="12">
        <f>0.5694*J122</f>
        <v>0</v>
      </c>
      <c r="K45" s="12"/>
    </row>
    <row r="46" spans="2:11" x14ac:dyDescent="0.25">
      <c r="B46" s="22" t="s">
        <v>41</v>
      </c>
      <c r="C46" s="10">
        <v>417</v>
      </c>
      <c r="D46" s="10">
        <v>891</v>
      </c>
      <c r="E46" s="10">
        <v>723</v>
      </c>
      <c r="F46" s="12">
        <f>0.7081*F127</f>
        <v>578.37607999999989</v>
      </c>
      <c r="G46" s="12">
        <f>0.7081*G127</f>
        <v>433.78205999999989</v>
      </c>
      <c r="H46" s="12">
        <f>0.7081*H127</f>
        <v>289.18803999999994</v>
      </c>
      <c r="I46" s="12">
        <f>0.7081*I127</f>
        <v>144.59401999999994</v>
      </c>
      <c r="J46" s="12">
        <f>0.7081*J127</f>
        <v>0</v>
      </c>
      <c r="K46" s="12"/>
    </row>
    <row r="47" spans="2:11" x14ac:dyDescent="0.25">
      <c r="B47" s="22" t="s">
        <v>42</v>
      </c>
      <c r="C47" s="10">
        <v>10227</v>
      </c>
      <c r="D47" s="10">
        <v>10693</v>
      </c>
      <c r="E47" s="10">
        <v>13019</v>
      </c>
      <c r="F47" s="12">
        <f>0.5581*F117</f>
        <v>13270.367856000003</v>
      </c>
      <c r="G47" s="12">
        <f>0.5581*G117</f>
        <v>13532.674409520001</v>
      </c>
      <c r="H47" s="12">
        <f>0.5581*H117</f>
        <v>13806.784757948402</v>
      </c>
      <c r="I47" s="12">
        <f>0.5581*I117</f>
        <v>14093.23007205608</v>
      </c>
      <c r="J47" s="12">
        <f>0.5581*J117</f>
        <v>14392.565425298604</v>
      </c>
      <c r="K47" s="12"/>
    </row>
    <row r="48" spans="2:11" x14ac:dyDescent="0.25">
      <c r="B48" s="22" t="s">
        <v>43</v>
      </c>
      <c r="C48" s="10">
        <v>695</v>
      </c>
      <c r="D48" s="10">
        <v>341</v>
      </c>
      <c r="E48" s="10">
        <v>282</v>
      </c>
      <c r="F48" s="12">
        <f>E48</f>
        <v>282</v>
      </c>
      <c r="G48" s="12">
        <f>F48</f>
        <v>282</v>
      </c>
      <c r="H48" s="12">
        <f>G48</f>
        <v>282</v>
      </c>
      <c r="I48" s="12">
        <f>H48</f>
        <v>282</v>
      </c>
      <c r="J48" s="12">
        <f>I48</f>
        <v>282</v>
      </c>
      <c r="K48" s="12"/>
    </row>
    <row r="49" spans="2:11" x14ac:dyDescent="0.25">
      <c r="B49" s="13" t="s">
        <v>44</v>
      </c>
      <c r="C49" s="23">
        <f t="shared" ref="C49:J49" si="13">SUM(C45:C48)</f>
        <v>15438</v>
      </c>
      <c r="D49" s="23">
        <f t="shared" si="13"/>
        <v>14835</v>
      </c>
      <c r="E49" s="23">
        <f t="shared" si="13"/>
        <v>15681</v>
      </c>
      <c r="F49" s="23">
        <f t="shared" si="13"/>
        <v>15456.307136000003</v>
      </c>
      <c r="G49" s="23">
        <f t="shared" si="13"/>
        <v>15242.628869520002</v>
      </c>
      <c r="H49" s="23">
        <f t="shared" si="13"/>
        <v>15040.754397948402</v>
      </c>
      <c r="I49" s="23">
        <f t="shared" si="13"/>
        <v>14851.214892056079</v>
      </c>
      <c r="J49" s="23">
        <f t="shared" si="13"/>
        <v>14674.565425298604</v>
      </c>
      <c r="K49" s="16"/>
    </row>
    <row r="50" spans="2:11" x14ac:dyDescent="0.25">
      <c r="B50" s="22" t="s">
        <v>45</v>
      </c>
      <c r="C50" s="10">
        <v>7148</v>
      </c>
      <c r="D50" s="10">
        <v>8494</v>
      </c>
      <c r="E50" s="10">
        <v>11148</v>
      </c>
      <c r="F50" s="12">
        <f>-(F18*F9)/365</f>
        <v>10893.992038747794</v>
      </c>
      <c r="G50" s="12">
        <f>-(G18*G9)/365</f>
        <v>11874.451322235098</v>
      </c>
      <c r="H50" s="12">
        <f>-(H18*H9)/365</f>
        <v>12943.151941236256</v>
      </c>
      <c r="I50" s="12">
        <f>-(I18*I9)/365</f>
        <v>14108.035615947523</v>
      </c>
      <c r="J50" s="12">
        <f>-(J18*J9)/365</f>
        <v>15377.758821382802</v>
      </c>
      <c r="K50" s="12"/>
    </row>
    <row r="51" spans="2:11" x14ac:dyDescent="0.25">
      <c r="B51" s="22" t="s">
        <v>46</v>
      </c>
      <c r="C51" s="10">
        <v>142</v>
      </c>
      <c r="D51" s="10">
        <v>141</v>
      </c>
      <c r="E51" s="10">
        <v>145</v>
      </c>
      <c r="F51" s="12">
        <f>F17*F10</f>
        <v>177.50251217536106</v>
      </c>
      <c r="G51" s="12">
        <f>G17*G10</f>
        <v>193.47773827114358</v>
      </c>
      <c r="H51" s="12">
        <f>H17*H10</f>
        <v>210.8907347155465</v>
      </c>
      <c r="I51" s="12">
        <f>I17*I10</f>
        <v>229.87090083994573</v>
      </c>
      <c r="J51" s="12">
        <f>J17*J10</f>
        <v>250.55928191554088</v>
      </c>
      <c r="K51" s="12"/>
    </row>
    <row r="52" spans="2:11" x14ac:dyDescent="0.25">
      <c r="B52" s="22" t="s">
        <v>47</v>
      </c>
      <c r="C52" s="10">
        <v>2389</v>
      </c>
      <c r="D52" s="10">
        <v>2222</v>
      </c>
      <c r="E52" s="10">
        <v>2246</v>
      </c>
      <c r="F52" s="12">
        <f>F11*F32</f>
        <v>1899.7588528351266</v>
      </c>
      <c r="G52" s="12">
        <f>G11*G32</f>
        <v>1731.5889828898164</v>
      </c>
      <c r="H52" s="12">
        <f>H11*H32</f>
        <v>1594.0260292745529</v>
      </c>
      <c r="I52" s="12">
        <f>I11*I32</f>
        <v>1481.4995332172673</v>
      </c>
      <c r="J52" s="12">
        <f>J11*J32</f>
        <v>1389.4528594424078</v>
      </c>
      <c r="K52" s="12"/>
    </row>
    <row r="53" spans="2:11" x14ac:dyDescent="0.25">
      <c r="B53" s="22" t="s">
        <v>48</v>
      </c>
      <c r="C53" s="10">
        <v>1287</v>
      </c>
      <c r="D53" s="10">
        <v>1191</v>
      </c>
      <c r="E53" s="10">
        <v>1253</v>
      </c>
      <c r="F53" s="12">
        <f>F122-F45</f>
        <v>1002.4367999999999</v>
      </c>
      <c r="G53" s="12">
        <f>G122-G45</f>
        <v>751.82759999999996</v>
      </c>
      <c r="H53" s="12">
        <f>H122-H45</f>
        <v>501.21839999999997</v>
      </c>
      <c r="I53" s="12">
        <f>I122-I45</f>
        <v>250.60919999999999</v>
      </c>
      <c r="J53" s="12">
        <f>J122-J45</f>
        <v>0</v>
      </c>
      <c r="K53" s="12"/>
    </row>
    <row r="54" spans="2:11" x14ac:dyDescent="0.25">
      <c r="B54" s="22" t="s">
        <v>49</v>
      </c>
      <c r="C54" s="10">
        <v>218</v>
      </c>
      <c r="D54" s="10">
        <v>288</v>
      </c>
      <c r="E54" s="10">
        <v>298</v>
      </c>
      <c r="F54" s="12">
        <f>F127-F46</f>
        <v>238.42392000000007</v>
      </c>
      <c r="G54" s="12">
        <f>G127-G46</f>
        <v>178.81794000000002</v>
      </c>
      <c r="H54" s="12">
        <f>H127-H46</f>
        <v>119.21195999999998</v>
      </c>
      <c r="I54" s="12">
        <f>I127-I46</f>
        <v>59.605979999999988</v>
      </c>
      <c r="J54" s="12">
        <f>J127-J46</f>
        <v>0</v>
      </c>
      <c r="K54" s="12"/>
    </row>
    <row r="55" spans="2:11" x14ac:dyDescent="0.25">
      <c r="B55" s="22" t="s">
        <v>42</v>
      </c>
      <c r="C55" s="10">
        <v>10130</v>
      </c>
      <c r="D55" s="10">
        <v>9372</v>
      </c>
      <c r="E55" s="10">
        <v>10309</v>
      </c>
      <c r="F55" s="12">
        <f>F117-F47</f>
        <v>10507.392143999999</v>
      </c>
      <c r="G55" s="12">
        <f>G117-G47</f>
        <v>10715.084790479999</v>
      </c>
      <c r="H55" s="12">
        <f>H117-H47</f>
        <v>10932.1236060516</v>
      </c>
      <c r="I55" s="12">
        <f>I117-I47</f>
        <v>11158.929168323923</v>
      </c>
      <c r="J55" s="12">
        <f>J117-J47</f>
        <v>11395.940980898498</v>
      </c>
      <c r="K55" s="12"/>
    </row>
    <row r="56" spans="2:11" x14ac:dyDescent="0.25">
      <c r="B56" s="22" t="s">
        <v>50</v>
      </c>
      <c r="C56" s="10">
        <v>797</v>
      </c>
      <c r="D56" s="10">
        <v>1869</v>
      </c>
      <c r="E56" s="10">
        <v>2774</v>
      </c>
      <c r="F56" s="12">
        <f>-F27</f>
        <v>1492.157849273369</v>
      </c>
      <c r="G56" s="12">
        <f>-G27</f>
        <v>1675.8496218314688</v>
      </c>
      <c r="H56" s="12">
        <f>-H27</f>
        <v>1900.8416921828439</v>
      </c>
      <c r="I56" s="12">
        <f>-I27</f>
        <v>2123.9587329885148</v>
      </c>
      <c r="J56" s="12">
        <f>-J27</f>
        <v>2374.7076662809695</v>
      </c>
      <c r="K56" s="12"/>
    </row>
    <row r="57" spans="2:11" x14ac:dyDescent="0.25">
      <c r="B57" s="13" t="s">
        <v>51</v>
      </c>
      <c r="C57" s="14">
        <f t="shared" ref="C57:J57" si="14">SUM(C50:C56)</f>
        <v>22111</v>
      </c>
      <c r="D57" s="14">
        <f t="shared" si="14"/>
        <v>23577</v>
      </c>
      <c r="E57" s="14">
        <f t="shared" si="14"/>
        <v>28173</v>
      </c>
      <c r="F57" s="14">
        <f t="shared" si="14"/>
        <v>26211.664117031647</v>
      </c>
      <c r="G57" s="14">
        <f t="shared" si="14"/>
        <v>27121.097995707525</v>
      </c>
      <c r="H57" s="14">
        <f t="shared" si="14"/>
        <v>28201.4643634608</v>
      </c>
      <c r="I57" s="14">
        <f t="shared" si="14"/>
        <v>29412.509131317176</v>
      </c>
      <c r="J57" s="14">
        <f t="shared" si="14"/>
        <v>30788.419609920216</v>
      </c>
      <c r="K57" s="15"/>
    </row>
    <row r="58" spans="2:11" x14ac:dyDescent="0.25">
      <c r="B58" s="22" t="s">
        <v>52</v>
      </c>
      <c r="C58" s="10">
        <v>13964</v>
      </c>
      <c r="D58" s="10">
        <v>13964</v>
      </c>
      <c r="E58" s="10">
        <v>13964</v>
      </c>
      <c r="F58" s="12">
        <f>E58</f>
        <v>13964</v>
      </c>
      <c r="G58" s="12">
        <f>F58</f>
        <v>13964</v>
      </c>
      <c r="H58" s="12">
        <f>G58</f>
        <v>13964</v>
      </c>
      <c r="I58" s="12">
        <f>H58</f>
        <v>13964</v>
      </c>
      <c r="J58" s="12">
        <f>I58</f>
        <v>13964</v>
      </c>
      <c r="K58" s="12"/>
    </row>
    <row r="59" spans="2:11" x14ac:dyDescent="0.25">
      <c r="B59" s="22" t="s">
        <v>53</v>
      </c>
      <c r="C59" s="10">
        <v>22983</v>
      </c>
      <c r="D59" s="10">
        <v>26705</v>
      </c>
      <c r="E59" s="10">
        <v>33945</v>
      </c>
      <c r="F59" s="12">
        <f>(F37+F44)-(F49+F57)-F58-F60</f>
        <v>41034.298070577686</v>
      </c>
      <c r="G59" s="12">
        <f>(G37+G44)-(G49+G57)-G58-G60</f>
        <v>47771.961168079652</v>
      </c>
      <c r="H59" s="12">
        <f>(H37+H44)-(H49+H57)-H58-H60</f>
        <v>55759.123239978508</v>
      </c>
      <c r="I59" s="12">
        <f>(I37+I44)-(I49+I57)-I58-I60</f>
        <v>65055.70735181596</v>
      </c>
      <c r="J59" s="12">
        <f>(J37+J44)-(J49+J57)-J58-J60</f>
        <v>75793.745227930776</v>
      </c>
      <c r="K59" s="12"/>
    </row>
    <row r="60" spans="2:11" x14ac:dyDescent="0.25">
      <c r="B60" s="22" t="s">
        <v>54</v>
      </c>
      <c r="C60" s="10">
        <v>31</v>
      </c>
      <c r="D60" s="10">
        <v>287</v>
      </c>
      <c r="E60" s="10">
        <v>299</v>
      </c>
      <c r="F60" s="12">
        <f>E60</f>
        <v>299</v>
      </c>
      <c r="G60" s="12">
        <f>F60</f>
        <v>299</v>
      </c>
      <c r="H60" s="12">
        <f>G60</f>
        <v>299</v>
      </c>
      <c r="I60" s="12">
        <f>H60</f>
        <v>299</v>
      </c>
      <c r="J60" s="12">
        <f>I60</f>
        <v>299</v>
      </c>
      <c r="K60" s="12"/>
    </row>
    <row r="61" spans="2:11" x14ac:dyDescent="0.25">
      <c r="B61" s="24" t="s">
        <v>55</v>
      </c>
      <c r="C61" s="25">
        <f t="shared" ref="C61:J61" si="15">SUM(C58:C60)</f>
        <v>36978</v>
      </c>
      <c r="D61" s="25">
        <f t="shared" si="15"/>
        <v>40956</v>
      </c>
      <c r="E61" s="25">
        <f t="shared" si="15"/>
        <v>48208</v>
      </c>
      <c r="F61" s="25">
        <f t="shared" si="15"/>
        <v>55297.298070577686</v>
      </c>
      <c r="G61" s="25">
        <f t="shared" si="15"/>
        <v>62034.961168079652</v>
      </c>
      <c r="H61" s="25">
        <f t="shared" si="15"/>
        <v>70022.123239978508</v>
      </c>
      <c r="I61" s="25">
        <f t="shared" si="15"/>
        <v>79318.70735181596</v>
      </c>
      <c r="J61" s="25">
        <f t="shared" si="15"/>
        <v>90056.745227930776</v>
      </c>
      <c r="K61" s="16"/>
    </row>
    <row r="62" spans="2:11" ht="16.5" customHeight="1" thickBot="1" x14ac:dyDescent="0.3">
      <c r="B62" s="26" t="s">
        <v>56</v>
      </c>
      <c r="C62" s="27">
        <f t="shared" ref="C62:J62" si="16">C61+C57+C49</f>
        <v>74527</v>
      </c>
      <c r="D62" s="27">
        <f t="shared" si="16"/>
        <v>79368</v>
      </c>
      <c r="E62" s="27">
        <f t="shared" si="16"/>
        <v>92062</v>
      </c>
      <c r="F62" s="27">
        <f t="shared" si="16"/>
        <v>96965.269323609333</v>
      </c>
      <c r="G62" s="27">
        <f t="shared" si="16"/>
        <v>104398.68803330717</v>
      </c>
      <c r="H62" s="27">
        <f t="shared" si="16"/>
        <v>113264.34200138772</v>
      </c>
      <c r="I62" s="27">
        <f t="shared" si="16"/>
        <v>123582.43137518922</v>
      </c>
      <c r="J62" s="27">
        <f t="shared" si="16"/>
        <v>135519.7302631496</v>
      </c>
      <c r="K62" s="16"/>
    </row>
    <row r="63" spans="2:11" x14ac:dyDescent="0.25">
      <c r="B63" s="1" t="s">
        <v>57</v>
      </c>
      <c r="C63" s="41">
        <f>C44+C37-C62</f>
        <v>0</v>
      </c>
      <c r="D63" s="41">
        <f t="shared" ref="D63:J63" si="17">D44+D37-D62</f>
        <v>0</v>
      </c>
      <c r="E63" s="41">
        <f t="shared" si="17"/>
        <v>0</v>
      </c>
      <c r="F63" s="41">
        <f t="shared" si="17"/>
        <v>0</v>
      </c>
      <c r="G63" s="41">
        <f t="shared" si="17"/>
        <v>0</v>
      </c>
      <c r="H63" s="41">
        <f t="shared" si="17"/>
        <v>0</v>
      </c>
      <c r="I63" s="41">
        <f t="shared" si="17"/>
        <v>0</v>
      </c>
      <c r="J63" s="41">
        <f t="shared" si="17"/>
        <v>0</v>
      </c>
      <c r="K63" s="11"/>
    </row>
    <row r="65" spans="2:11" x14ac:dyDescent="0.25">
      <c r="C65" s="2" t="s">
        <v>0</v>
      </c>
      <c r="D65" s="2"/>
      <c r="E65" s="2"/>
      <c r="F65" s="3" t="s">
        <v>1</v>
      </c>
      <c r="G65" s="3"/>
      <c r="H65" s="3"/>
      <c r="I65" s="3"/>
      <c r="J65" s="3"/>
      <c r="K65" s="4"/>
    </row>
    <row r="66" spans="2:11" x14ac:dyDescent="0.25">
      <c r="B66" s="5" t="s">
        <v>58</v>
      </c>
      <c r="C66" s="5">
        <v>2022</v>
      </c>
      <c r="D66" s="5">
        <f t="shared" ref="D66:J66" si="18">C66+1</f>
        <v>2023</v>
      </c>
      <c r="E66" s="5">
        <f t="shared" si="18"/>
        <v>2024</v>
      </c>
      <c r="F66" s="5">
        <f t="shared" si="18"/>
        <v>2025</v>
      </c>
      <c r="G66" s="5">
        <f t="shared" si="18"/>
        <v>2026</v>
      </c>
      <c r="H66" s="5">
        <f t="shared" si="18"/>
        <v>2027</v>
      </c>
      <c r="I66" s="5">
        <f t="shared" si="18"/>
        <v>2028</v>
      </c>
      <c r="J66" s="5">
        <f t="shared" si="18"/>
        <v>2029</v>
      </c>
      <c r="K66" s="6"/>
    </row>
    <row r="67" spans="2:11" x14ac:dyDescent="0.25">
      <c r="B67" s="20" t="s">
        <v>23</v>
      </c>
      <c r="C67" s="15">
        <f t="shared" ref="C67:J67" si="19">C26</f>
        <v>6257</v>
      </c>
      <c r="D67" s="15">
        <f t="shared" si="19"/>
        <v>7655</v>
      </c>
      <c r="E67" s="15">
        <f t="shared" si="19"/>
        <v>12502</v>
      </c>
      <c r="F67" s="15">
        <f t="shared" si="19"/>
        <v>8672.9284357910929</v>
      </c>
      <c r="G67" s="15">
        <f t="shared" si="19"/>
        <v>9740.6074339720308</v>
      </c>
      <c r="H67" s="15">
        <f t="shared" si="19"/>
        <v>11048.337796231082</v>
      </c>
      <c r="I67" s="15">
        <f t="shared" si="19"/>
        <v>12345.169849659871</v>
      </c>
      <c r="J67" s="15">
        <f t="shared" si="19"/>
        <v>13802.607851179235</v>
      </c>
      <c r="K67" s="15"/>
    </row>
    <row r="68" spans="2:11" x14ac:dyDescent="0.25">
      <c r="B68" s="22" t="s">
        <v>59</v>
      </c>
      <c r="C68" s="10">
        <f>36+3982+10405+2</f>
        <v>14425</v>
      </c>
      <c r="D68" s="10">
        <f>34+3439+10067+3</f>
        <v>13543</v>
      </c>
      <c r="E68" s="10">
        <f>10495+3113+50+10</f>
        <v>13668</v>
      </c>
      <c r="F68" s="12">
        <f>-F103-F109</f>
        <v>14729.415999999997</v>
      </c>
      <c r="G68" s="12">
        <f>-G103-G109</f>
        <v>14221.071513999999</v>
      </c>
      <c r="H68" s="12">
        <f>-H103-H109</f>
        <v>13883.984094994003</v>
      </c>
      <c r="I68" s="12">
        <f>-I103-I109</f>
        <v>13645.017405290204</v>
      </c>
      <c r="J68" s="12">
        <f>-J103-J109</f>
        <v>13466.714625605637</v>
      </c>
      <c r="K68" s="12"/>
    </row>
    <row r="69" spans="2:11" x14ac:dyDescent="0.25">
      <c r="B69" s="22" t="s">
        <v>60</v>
      </c>
      <c r="C69" s="10">
        <f>102+123+66+321</f>
        <v>612</v>
      </c>
      <c r="D69" s="10">
        <f>9+53+292+252</f>
        <v>606</v>
      </c>
      <c r="E69" s="10">
        <f>237+314</f>
        <v>551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/>
    </row>
    <row r="70" spans="2:11" x14ac:dyDescent="0.25">
      <c r="B70" s="22" t="s">
        <v>61</v>
      </c>
      <c r="C70" s="10">
        <f>489-28</f>
        <v>461</v>
      </c>
      <c r="D70" s="10">
        <f>456-49</f>
        <v>407</v>
      </c>
      <c r="E70" s="10">
        <f>53-23</f>
        <v>30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/>
    </row>
    <row r="71" spans="2:11" x14ac:dyDescent="0.25">
      <c r="B71" s="22" t="s">
        <v>62</v>
      </c>
      <c r="C71" s="10">
        <f>-3-111</f>
        <v>-114</v>
      </c>
      <c r="D71" s="10">
        <f>-19-131</f>
        <v>-150</v>
      </c>
      <c r="E71" s="10">
        <f>-14</f>
        <v>-14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/>
    </row>
    <row r="72" spans="2:11" x14ac:dyDescent="0.25">
      <c r="B72" s="22" t="s">
        <v>63</v>
      </c>
      <c r="C72" s="10">
        <f>105+492-42</f>
        <v>555</v>
      </c>
      <c r="D72" s="10">
        <f>200+505-414</f>
        <v>291</v>
      </c>
      <c r="E72" s="10">
        <f>219+869-1080</f>
        <v>8</v>
      </c>
      <c r="F72" s="12">
        <f>-F25+F20</f>
        <v>1785.8310000000001</v>
      </c>
      <c r="G72" s="12">
        <f>-G25+G20</f>
        <v>1853.8137289597444</v>
      </c>
      <c r="H72" s="12">
        <f>-H25+H20</f>
        <v>1943.615183100997</v>
      </c>
      <c r="I72" s="12">
        <f>-I25+I20</f>
        <v>2047.2538943658899</v>
      </c>
      <c r="J72" s="12">
        <f>-J25+J20</f>
        <v>2166.169478071608</v>
      </c>
      <c r="K72" s="12"/>
    </row>
    <row r="73" spans="2:11" x14ac:dyDescent="0.25">
      <c r="B73" s="22" t="s">
        <v>64</v>
      </c>
      <c r="C73" s="10">
        <v>28</v>
      </c>
      <c r="D73" s="10">
        <v>361</v>
      </c>
      <c r="E73" s="10">
        <v>87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2:11" x14ac:dyDescent="0.25">
      <c r="B74" s="13" t="s">
        <v>65</v>
      </c>
      <c r="C74" s="14">
        <f t="shared" ref="C74:J74" si="20">SUM(C67:C73)</f>
        <v>22224</v>
      </c>
      <c r="D74" s="14">
        <f t="shared" si="20"/>
        <v>22713</v>
      </c>
      <c r="E74" s="14">
        <f t="shared" si="20"/>
        <v>26832</v>
      </c>
      <c r="F74" s="14">
        <f t="shared" si="20"/>
        <v>25188.17543579109</v>
      </c>
      <c r="G74" s="14">
        <f t="shared" si="20"/>
        <v>25815.492676931775</v>
      </c>
      <c r="H74" s="14">
        <f t="shared" si="20"/>
        <v>26875.937074326081</v>
      </c>
      <c r="I74" s="14">
        <f t="shared" si="20"/>
        <v>28037.441149315968</v>
      </c>
      <c r="J74" s="14">
        <f t="shared" si="20"/>
        <v>29435.491954856479</v>
      </c>
      <c r="K74" s="12"/>
    </row>
    <row r="75" spans="2:11" x14ac:dyDescent="0.25">
      <c r="B75" s="22" t="s">
        <v>66</v>
      </c>
      <c r="C75" s="10">
        <f>1033-123-102</f>
        <v>808</v>
      </c>
      <c r="D75" s="10">
        <f>-128-137-53</f>
        <v>-318</v>
      </c>
      <c r="E75" s="10">
        <f>-480-87</f>
        <v>-567</v>
      </c>
      <c r="F75" s="12">
        <f>E40-F40</f>
        <v>-89.190000000000055</v>
      </c>
      <c r="G75" s="12">
        <f>F40-G40</f>
        <v>-97.2171000000003</v>
      </c>
      <c r="H75" s="12">
        <f>G40-H40</f>
        <v>-105.96663899999999</v>
      </c>
      <c r="I75" s="12">
        <f>H40-I40</f>
        <v>-115.50363651000021</v>
      </c>
      <c r="J75" s="12">
        <f>I40-J40</f>
        <v>-125.89896379590027</v>
      </c>
      <c r="K75" s="12"/>
    </row>
    <row r="76" spans="2:11" x14ac:dyDescent="0.25">
      <c r="B76" s="22" t="s">
        <v>67</v>
      </c>
      <c r="C76" s="10">
        <v>-2213</v>
      </c>
      <c r="D76" s="10">
        <v>1346</v>
      </c>
      <c r="E76" s="10">
        <v>2654</v>
      </c>
      <c r="F76" s="12">
        <f>F50-E50</f>
        <v>-254.00796125220586</v>
      </c>
      <c r="G76" s="12">
        <f>G50-F50</f>
        <v>980.45928348730376</v>
      </c>
      <c r="H76" s="12">
        <f>H50-G50</f>
        <v>1068.700619001158</v>
      </c>
      <c r="I76" s="12">
        <f>I50-H50</f>
        <v>1164.8836747112673</v>
      </c>
      <c r="J76" s="12">
        <f>J50-I50</f>
        <v>1269.7232054352789</v>
      </c>
      <c r="K76" s="12"/>
    </row>
    <row r="77" spans="2:11" x14ac:dyDescent="0.25">
      <c r="B77" s="22" t="s">
        <v>68</v>
      </c>
      <c r="C77" s="10">
        <v>-130</v>
      </c>
      <c r="D77" s="10">
        <v>173</v>
      </c>
      <c r="E77" s="10">
        <v>-621</v>
      </c>
      <c r="F77" s="12">
        <f>E39-F39</f>
        <v>67.715423036029506</v>
      </c>
      <c r="G77" s="12">
        <f>F39-G39</f>
        <v>-140.06561192675781</v>
      </c>
      <c r="H77" s="12">
        <f>G39-H39</f>
        <v>-152.67151700016552</v>
      </c>
      <c r="I77" s="12">
        <f>H39-I39</f>
        <v>-166.41195353018065</v>
      </c>
      <c r="J77" s="12">
        <f>I39-J39</f>
        <v>-181.38902934789712</v>
      </c>
      <c r="K77" s="12"/>
    </row>
    <row r="78" spans="2:11" x14ac:dyDescent="0.25">
      <c r="B78" s="22" t="s">
        <v>69</v>
      </c>
      <c r="C78" s="10">
        <f>-5-606</f>
        <v>-611</v>
      </c>
      <c r="D78" s="10">
        <f>-1-591</f>
        <v>-592</v>
      </c>
      <c r="E78" s="10">
        <v>4</v>
      </c>
      <c r="F78" s="12">
        <f>(F51+F52)-(E51+E52)</f>
        <v>-313.73863498951232</v>
      </c>
      <c r="G78" s="12">
        <f>(G51+G52)-(F51+F52)</f>
        <v>-152.19464384952767</v>
      </c>
      <c r="H78" s="12">
        <f>(H51+H52)-(G51+G52)</f>
        <v>-120.14995717086072</v>
      </c>
      <c r="I78" s="12">
        <f>(I51+I52)-(H51+H52)</f>
        <v>-93.546329932886238</v>
      </c>
      <c r="J78" s="12">
        <f>(J51+J52)-(I51+I52)</f>
        <v>-71.358292699264439</v>
      </c>
      <c r="K78" s="12"/>
    </row>
    <row r="79" spans="2:11" x14ac:dyDescent="0.25">
      <c r="B79" s="22" t="s">
        <v>70</v>
      </c>
      <c r="C79" s="10">
        <f>-198+166</f>
        <v>-32</v>
      </c>
      <c r="D79" s="10">
        <f>182-358</f>
        <v>-176</v>
      </c>
      <c r="E79" s="10">
        <f>63+330</f>
        <v>393</v>
      </c>
      <c r="F79" s="12">
        <f>(E41+E42+E43)-(F41+F42+F43)</f>
        <v>0</v>
      </c>
      <c r="G79" s="12">
        <f>(F41+F42+F43)-(G41+G42+G43)</f>
        <v>0</v>
      </c>
      <c r="H79" s="12">
        <f>(G41+G42+G43)-(H41+H42+H43)</f>
        <v>0</v>
      </c>
      <c r="I79" s="12">
        <f>(H41+H42+H43)-(I41+I42+I43)</f>
        <v>0</v>
      </c>
      <c r="J79" s="12">
        <f>(I41+I42+I43)-(J41+J42+J43)</f>
        <v>0</v>
      </c>
      <c r="K79" s="12"/>
    </row>
    <row r="80" spans="2:11" x14ac:dyDescent="0.25">
      <c r="B80" s="22" t="s">
        <v>71</v>
      </c>
      <c r="C80" s="10">
        <v>-1406</v>
      </c>
      <c r="D80" s="10">
        <v>-786</v>
      </c>
      <c r="E80" s="10">
        <f>-1984</f>
        <v>-1984</v>
      </c>
      <c r="F80" s="12">
        <f>F27</f>
        <v>-1492.157849273369</v>
      </c>
      <c r="G80" s="12">
        <f>G27</f>
        <v>-1675.8496218314688</v>
      </c>
      <c r="H80" s="12">
        <f>H27</f>
        <v>-1900.8416921828439</v>
      </c>
      <c r="I80" s="12">
        <f>I27</f>
        <v>-2123.9587329885148</v>
      </c>
      <c r="J80" s="12">
        <f>J27</f>
        <v>-2374.7076662809695</v>
      </c>
      <c r="K80" s="12"/>
    </row>
    <row r="81" spans="2:11" x14ac:dyDescent="0.25">
      <c r="B81" s="13" t="s">
        <v>72</v>
      </c>
      <c r="C81" s="14">
        <f t="shared" ref="C81:J81" si="21">C74+SUM(C75:C80)</f>
        <v>18640</v>
      </c>
      <c r="D81" s="14">
        <f t="shared" si="21"/>
        <v>22360</v>
      </c>
      <c r="E81" s="14">
        <f t="shared" si="21"/>
        <v>26711</v>
      </c>
      <c r="F81" s="14">
        <f t="shared" si="21"/>
        <v>23106.796413312033</v>
      </c>
      <c r="G81" s="14">
        <f t="shared" si="21"/>
        <v>24730.624982811325</v>
      </c>
      <c r="H81" s="14">
        <f t="shared" si="21"/>
        <v>25665.00788797337</v>
      </c>
      <c r="I81" s="14">
        <f t="shared" si="21"/>
        <v>26702.904171065653</v>
      </c>
      <c r="J81" s="14">
        <f t="shared" si="21"/>
        <v>27951.861208167727</v>
      </c>
      <c r="K81" s="12"/>
    </row>
    <row r="82" spans="2:11" x14ac:dyDescent="0.25">
      <c r="B82" s="22" t="s">
        <v>73</v>
      </c>
      <c r="C82" s="10">
        <v>-1188</v>
      </c>
      <c r="D82" s="10">
        <v>-1329</v>
      </c>
      <c r="E82" s="10">
        <v>-1527</v>
      </c>
      <c r="F82" s="12">
        <f>-(F100)</f>
        <v>-1348</v>
      </c>
      <c r="G82" s="12">
        <f>-(G100)</f>
        <v>-1348</v>
      </c>
      <c r="H82" s="12">
        <f>-(H100)</f>
        <v>-1348</v>
      </c>
      <c r="I82" s="12">
        <f>-(I100)</f>
        <v>-1348</v>
      </c>
      <c r="J82" s="12">
        <f>-(J100)</f>
        <v>-1348</v>
      </c>
      <c r="K82" s="12"/>
    </row>
    <row r="83" spans="2:11" x14ac:dyDescent="0.25">
      <c r="B83" s="22" t="s">
        <v>74</v>
      </c>
      <c r="C83" s="10">
        <v>-110</v>
      </c>
      <c r="D83" s="10">
        <v>0</v>
      </c>
      <c r="E83" s="10">
        <v>-97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/>
    </row>
    <row r="84" spans="2:11" x14ac:dyDescent="0.25">
      <c r="B84" s="22" t="s">
        <v>75</v>
      </c>
      <c r="C84" s="10">
        <v>154</v>
      </c>
      <c r="D84" s="10">
        <v>131</v>
      </c>
      <c r="E84" s="10">
        <v>14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/>
    </row>
    <row r="85" spans="2:11" x14ac:dyDescent="0.25">
      <c r="B85" s="22" t="s">
        <v>76</v>
      </c>
      <c r="C85" s="10">
        <v>0</v>
      </c>
      <c r="D85" s="10">
        <f>-155</f>
        <v>-155</v>
      </c>
      <c r="E85" s="10">
        <f>-150-118</f>
        <v>-268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/>
    </row>
    <row r="86" spans="2:11" x14ac:dyDescent="0.25">
      <c r="B86" s="22" t="s">
        <v>77</v>
      </c>
      <c r="C86" s="10">
        <v>42</v>
      </c>
      <c r="D86" s="10">
        <v>309</v>
      </c>
      <c r="E86" s="10">
        <v>1052</v>
      </c>
      <c r="F86" s="12">
        <f>F20</f>
        <v>559.17600000000004</v>
      </c>
      <c r="G86" s="12">
        <f>G20</f>
        <v>642.29852895974443</v>
      </c>
      <c r="H86" s="12">
        <f>H20</f>
        <v>746.32901910099724</v>
      </c>
      <c r="I86" s="12">
        <f>I20</f>
        <v>863.24501798588972</v>
      </c>
      <c r="J86" s="12">
        <f>J20</f>
        <v>994.44331225450833</v>
      </c>
      <c r="K86" s="12"/>
    </row>
    <row r="87" spans="2:11" x14ac:dyDescent="0.25">
      <c r="B87" s="13" t="s">
        <v>78</v>
      </c>
      <c r="C87" s="14">
        <f t="shared" ref="C87:J87" si="22">SUM(C82:C86)</f>
        <v>-1102</v>
      </c>
      <c r="D87" s="14">
        <f t="shared" si="22"/>
        <v>-1044</v>
      </c>
      <c r="E87" s="14">
        <f t="shared" si="22"/>
        <v>-826</v>
      </c>
      <c r="F87" s="14">
        <f t="shared" si="22"/>
        <v>-788.82399999999996</v>
      </c>
      <c r="G87" s="14">
        <f t="shared" si="22"/>
        <v>-705.70147104025557</v>
      </c>
      <c r="H87" s="14">
        <f t="shared" si="22"/>
        <v>-601.67098089900276</v>
      </c>
      <c r="I87" s="14">
        <f t="shared" si="22"/>
        <v>-484.75498201411028</v>
      </c>
      <c r="J87" s="14">
        <f t="shared" si="22"/>
        <v>-353.55668774549167</v>
      </c>
      <c r="K87" s="15"/>
    </row>
    <row r="88" spans="2:11" x14ac:dyDescent="0.25">
      <c r="B88" s="1" t="s">
        <v>79</v>
      </c>
      <c r="C88" s="10">
        <f>-252-10583-1287</f>
        <v>-12122</v>
      </c>
      <c r="D88" s="10">
        <f>-271-10281-1285</f>
        <v>-11837</v>
      </c>
      <c r="E88" s="10">
        <f>-287-10720-1191</f>
        <v>-12198</v>
      </c>
      <c r="F88" s="12">
        <f>F116+F121+F126</f>
        <v>-11736.44</v>
      </c>
      <c r="G88" s="12">
        <f>G116+G121+G126</f>
        <v>-11716.200800000001</v>
      </c>
      <c r="H88" s="12">
        <f>H116+H121+H126</f>
        <v>-11695.050836</v>
      </c>
      <c r="I88" s="12">
        <f>I116+I121+I126</f>
        <v>-11672.949123620001</v>
      </c>
      <c r="J88" s="12">
        <f>J116+J121+J126</f>
        <v>-11649.852834182901</v>
      </c>
      <c r="K88" s="12"/>
    </row>
    <row r="89" spans="2:11" x14ac:dyDescent="0.25">
      <c r="B89" s="1" t="s">
        <v>80</v>
      </c>
      <c r="C89" s="10">
        <f>-492-105</f>
        <v>-597</v>
      </c>
      <c r="D89" s="10">
        <f>-505-200</f>
        <v>-705</v>
      </c>
      <c r="E89" s="10">
        <f>-869-219</f>
        <v>-1088</v>
      </c>
      <c r="F89" s="12">
        <f>F25</f>
        <v>-1226.655</v>
      </c>
      <c r="G89" s="12">
        <f>G25</f>
        <v>-1211.5152</v>
      </c>
      <c r="H89" s="12">
        <f>H25</f>
        <v>-1197.2861639999999</v>
      </c>
      <c r="I89" s="12">
        <f>I25</f>
        <v>-1184.0088763800002</v>
      </c>
      <c r="J89" s="12">
        <f>J25</f>
        <v>-1171.7261658170999</v>
      </c>
      <c r="K89" s="12"/>
    </row>
    <row r="90" spans="2:11" x14ac:dyDescent="0.25">
      <c r="B90" s="1" t="s">
        <v>81</v>
      </c>
      <c r="C90" s="10">
        <v>-2428</v>
      </c>
      <c r="D90" s="10">
        <v>-2428</v>
      </c>
      <c r="E90" s="10">
        <v>-2428</v>
      </c>
      <c r="F90" s="12">
        <f>E90</f>
        <v>-2428</v>
      </c>
      <c r="G90" s="12">
        <f>F90</f>
        <v>-2428</v>
      </c>
      <c r="H90" s="12">
        <f>F90</f>
        <v>-2428</v>
      </c>
      <c r="I90" s="12">
        <f>F90</f>
        <v>-2428</v>
      </c>
      <c r="J90" s="12">
        <f>F90</f>
        <v>-2428</v>
      </c>
      <c r="K90" s="12"/>
    </row>
    <row r="91" spans="2:11" x14ac:dyDescent="0.25">
      <c r="B91" s="13" t="s">
        <v>82</v>
      </c>
      <c r="C91" s="14">
        <f t="shared" ref="C91:J91" si="23">SUM(C88:C90)</f>
        <v>-15147</v>
      </c>
      <c r="D91" s="14">
        <f t="shared" si="23"/>
        <v>-14970</v>
      </c>
      <c r="E91" s="14">
        <f t="shared" si="23"/>
        <v>-15714</v>
      </c>
      <c r="F91" s="14">
        <f t="shared" si="23"/>
        <v>-15391.095000000001</v>
      </c>
      <c r="G91" s="14">
        <f t="shared" si="23"/>
        <v>-15355.716</v>
      </c>
      <c r="H91" s="14">
        <f t="shared" si="23"/>
        <v>-15320.337</v>
      </c>
      <c r="I91" s="14">
        <f t="shared" si="23"/>
        <v>-15284.958000000001</v>
      </c>
      <c r="J91" s="14">
        <f t="shared" si="23"/>
        <v>-15249.579</v>
      </c>
      <c r="K91" s="15"/>
    </row>
    <row r="92" spans="2:11" x14ac:dyDescent="0.25">
      <c r="B92" s="22" t="s">
        <v>83</v>
      </c>
      <c r="C92" s="12">
        <f t="shared" ref="C92:J92" si="24">C91+C87+C81</f>
        <v>2391</v>
      </c>
      <c r="D92" s="12">
        <f t="shared" si="24"/>
        <v>6346</v>
      </c>
      <c r="E92" s="12">
        <f t="shared" si="24"/>
        <v>10171</v>
      </c>
      <c r="F92" s="12">
        <f t="shared" si="24"/>
        <v>6926.8774133120314</v>
      </c>
      <c r="G92" s="12">
        <f t="shared" si="24"/>
        <v>8669.2075117710683</v>
      </c>
      <c r="H92" s="12">
        <f t="shared" si="24"/>
        <v>9742.999907074367</v>
      </c>
      <c r="I92" s="12">
        <f t="shared" si="24"/>
        <v>10933.191189051542</v>
      </c>
      <c r="J92" s="12">
        <f t="shared" si="24"/>
        <v>12348.725520422237</v>
      </c>
      <c r="K92" s="12"/>
    </row>
    <row r="93" spans="2:11" x14ac:dyDescent="0.25">
      <c r="B93" s="22" t="s">
        <v>84</v>
      </c>
      <c r="C93" s="10">
        <v>25190</v>
      </c>
      <c r="D93" s="10">
        <v>27581</v>
      </c>
      <c r="E93" s="10">
        <v>33927</v>
      </c>
      <c r="F93" s="12">
        <f>E94</f>
        <v>44098</v>
      </c>
      <c r="G93" s="12">
        <f>F94</f>
        <v>51024.877413312031</v>
      </c>
      <c r="H93" s="12">
        <f>G94</f>
        <v>59694.084925083102</v>
      </c>
      <c r="I93" s="12">
        <f>H94</f>
        <v>69437.084832157474</v>
      </c>
      <c r="J93" s="12">
        <f>I94</f>
        <v>80370.276021209022</v>
      </c>
      <c r="K93" s="12"/>
    </row>
    <row r="94" spans="2:11" ht="16.5" customHeight="1" thickBot="1" x14ac:dyDescent="0.3">
      <c r="B94" s="26" t="s">
        <v>85</v>
      </c>
      <c r="C94" s="19">
        <f t="shared" ref="C94:J94" si="25">SUM(C92:C93)</f>
        <v>27581</v>
      </c>
      <c r="D94" s="19">
        <f t="shared" si="25"/>
        <v>33927</v>
      </c>
      <c r="E94" s="19">
        <f t="shared" si="25"/>
        <v>44098</v>
      </c>
      <c r="F94" s="19">
        <f t="shared" si="25"/>
        <v>51024.877413312031</v>
      </c>
      <c r="G94" s="19">
        <f t="shared" si="25"/>
        <v>59694.084925083102</v>
      </c>
      <c r="H94" s="19">
        <f t="shared" si="25"/>
        <v>69437.084832157474</v>
      </c>
      <c r="I94" s="19">
        <f t="shared" si="25"/>
        <v>80370.276021209022</v>
      </c>
      <c r="J94" s="19">
        <f t="shared" si="25"/>
        <v>92719.001541631253</v>
      </c>
      <c r="K94" s="15"/>
    </row>
    <row r="96" spans="2:11" x14ac:dyDescent="0.25">
      <c r="C96" s="2" t="s">
        <v>0</v>
      </c>
      <c r="D96" s="2"/>
      <c r="E96" s="2"/>
      <c r="F96" s="3" t="s">
        <v>1</v>
      </c>
      <c r="G96" s="3"/>
      <c r="H96" s="3"/>
      <c r="I96" s="3"/>
      <c r="J96" s="3"/>
      <c r="K96" s="4"/>
    </row>
    <row r="97" spans="2:13" x14ac:dyDescent="0.25">
      <c r="B97" s="5" t="s">
        <v>86</v>
      </c>
      <c r="C97" s="5">
        <v>2022</v>
      </c>
      <c r="D97" s="5">
        <f t="shared" ref="D97:J97" si="26">C97+1</f>
        <v>2023</v>
      </c>
      <c r="E97" s="5">
        <f t="shared" si="26"/>
        <v>2024</v>
      </c>
      <c r="F97" s="5">
        <f t="shared" si="26"/>
        <v>2025</v>
      </c>
      <c r="G97" s="5">
        <f t="shared" si="26"/>
        <v>2026</v>
      </c>
      <c r="H97" s="5">
        <f t="shared" si="26"/>
        <v>2027</v>
      </c>
      <c r="I97" s="5">
        <f t="shared" si="26"/>
        <v>2028</v>
      </c>
      <c r="J97" s="5">
        <f t="shared" si="26"/>
        <v>2029</v>
      </c>
      <c r="K97" s="6"/>
    </row>
    <row r="98" spans="2:13" x14ac:dyDescent="0.25">
      <c r="B98" s="28" t="s">
        <v>87</v>
      </c>
      <c r="C98" s="29"/>
      <c r="D98" s="29"/>
      <c r="E98" s="29"/>
      <c r="F98" s="30"/>
      <c r="G98" s="29"/>
      <c r="H98" s="29"/>
      <c r="I98" s="29"/>
      <c r="J98" s="29"/>
    </row>
    <row r="99" spans="2:13" x14ac:dyDescent="0.25">
      <c r="B99" s="22" t="s">
        <v>88</v>
      </c>
      <c r="C99" s="10">
        <f>C104-C100-C102-C103</f>
        <v>21638</v>
      </c>
      <c r="D99" s="12">
        <f t="shared" ref="D99:J99" si="27">C104</f>
        <v>18799</v>
      </c>
      <c r="E99" s="12">
        <f t="shared" si="27"/>
        <v>17414</v>
      </c>
      <c r="F99" s="12">
        <f t="shared" si="27"/>
        <v>15981</v>
      </c>
      <c r="G99" s="12">
        <f t="shared" si="27"/>
        <v>14420.458000000001</v>
      </c>
      <c r="H99" s="12">
        <f t="shared" si="27"/>
        <v>13143.934644000001</v>
      </c>
      <c r="I99" s="12">
        <f t="shared" si="27"/>
        <v>12099.738538792</v>
      </c>
      <c r="J99" s="12">
        <f t="shared" si="27"/>
        <v>11245.586124731857</v>
      </c>
      <c r="K99" s="12"/>
    </row>
    <row r="100" spans="2:13" x14ac:dyDescent="0.25">
      <c r="B100" s="22" t="s">
        <v>89</v>
      </c>
      <c r="C100" s="12">
        <f>-C82</f>
        <v>1188</v>
      </c>
      <c r="D100" s="12">
        <f>-D82</f>
        <v>1329</v>
      </c>
      <c r="E100" s="12">
        <f>-E82</f>
        <v>1527</v>
      </c>
      <c r="F100" s="12">
        <f>AVERAGE(C100:E100)</f>
        <v>1348</v>
      </c>
      <c r="G100" s="12">
        <f>F100</f>
        <v>1348</v>
      </c>
      <c r="H100" s="12">
        <f>G100</f>
        <v>1348</v>
      </c>
      <c r="I100" s="12">
        <f>H100</f>
        <v>1348</v>
      </c>
      <c r="J100" s="12">
        <f>I100</f>
        <v>1348</v>
      </c>
      <c r="K100" s="12"/>
    </row>
    <row r="101" spans="2:13" x14ac:dyDescent="0.25">
      <c r="B101" s="22" t="s">
        <v>90</v>
      </c>
      <c r="C101" s="12">
        <v>0</v>
      </c>
      <c r="D101" s="12">
        <v>728</v>
      </c>
      <c r="E101" s="12">
        <v>163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/>
    </row>
    <row r="102" spans="2:13" x14ac:dyDescent="0.25">
      <c r="B102" s="22" t="s">
        <v>91</v>
      </c>
      <c r="C102" s="12">
        <v>-45</v>
      </c>
      <c r="D102" s="12">
        <v>-3</v>
      </c>
      <c r="E102" s="12">
        <v>-10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/>
    </row>
    <row r="103" spans="2:13" x14ac:dyDescent="0.25">
      <c r="B103" s="22" t="s">
        <v>92</v>
      </c>
      <c r="C103" s="12">
        <v>-3982</v>
      </c>
      <c r="D103" s="12">
        <v>-3439</v>
      </c>
      <c r="E103" s="12">
        <v>-3113</v>
      </c>
      <c r="F103" s="12">
        <f>-(F99*18.2%)</f>
        <v>-2908.5419999999999</v>
      </c>
      <c r="G103" s="12">
        <f>-(G99*18.2%)</f>
        <v>-2624.5233560000001</v>
      </c>
      <c r="H103" s="12">
        <f>-(H99*18.2%)</f>
        <v>-2392.1961052080001</v>
      </c>
      <c r="I103" s="12">
        <f>-(I99*18.2%)</f>
        <v>-2202.1524140601441</v>
      </c>
      <c r="J103" s="12">
        <f>-(J99*18.2%)</f>
        <v>-2046.6966747011979</v>
      </c>
      <c r="K103" s="12"/>
    </row>
    <row r="104" spans="2:13" x14ac:dyDescent="0.25">
      <c r="B104" s="31" t="s">
        <v>93</v>
      </c>
      <c r="C104" s="14">
        <f>18799</f>
        <v>18799</v>
      </c>
      <c r="D104" s="14">
        <f t="shared" ref="D104:J104" si="28">SUM(D99:D103)</f>
        <v>17414</v>
      </c>
      <c r="E104" s="14">
        <f t="shared" si="28"/>
        <v>15981</v>
      </c>
      <c r="F104" s="14">
        <f t="shared" si="28"/>
        <v>14420.458000000001</v>
      </c>
      <c r="G104" s="14">
        <f t="shared" si="28"/>
        <v>13143.934644000001</v>
      </c>
      <c r="H104" s="14">
        <f t="shared" si="28"/>
        <v>12099.738538792</v>
      </c>
      <c r="I104" s="14">
        <f t="shared" si="28"/>
        <v>11245.586124731857</v>
      </c>
      <c r="J104" s="14">
        <f t="shared" si="28"/>
        <v>10546.88945003066</v>
      </c>
      <c r="K104" s="15"/>
    </row>
    <row r="105" spans="2:13" x14ac:dyDescent="0.25">
      <c r="B105" s="28" t="s">
        <v>94</v>
      </c>
      <c r="C105" s="29"/>
      <c r="D105" s="29"/>
      <c r="E105" s="29"/>
      <c r="F105" s="30"/>
      <c r="G105" s="29"/>
      <c r="H105" s="29"/>
      <c r="I105" s="29"/>
      <c r="J105" s="29"/>
    </row>
    <row r="106" spans="2:13" x14ac:dyDescent="0.25">
      <c r="B106" s="22" t="s">
        <v>95</v>
      </c>
      <c r="C106" s="12">
        <f>C110-C109-C108-C107</f>
        <v>19749</v>
      </c>
      <c r="D106" s="12">
        <f t="shared" ref="D106:J106" si="29">C110</f>
        <v>19318</v>
      </c>
      <c r="E106" s="12">
        <f t="shared" si="29"/>
        <v>19005</v>
      </c>
      <c r="F106" s="12">
        <f t="shared" si="29"/>
        <v>22178</v>
      </c>
      <c r="G106" s="12">
        <f t="shared" si="29"/>
        <v>21757.126000000004</v>
      </c>
      <c r="H106" s="12">
        <f t="shared" si="29"/>
        <v>21560.577842000006</v>
      </c>
      <c r="I106" s="12">
        <f t="shared" si="29"/>
        <v>21468.789852214002</v>
      </c>
      <c r="J106" s="12">
        <f t="shared" si="29"/>
        <v>21425.924860983941</v>
      </c>
      <c r="K106" s="12"/>
    </row>
    <row r="107" spans="2:13" x14ac:dyDescent="0.25">
      <c r="B107" s="22" t="s">
        <v>96</v>
      </c>
      <c r="C107" s="12">
        <v>10295</v>
      </c>
      <c r="D107" s="12">
        <v>10006</v>
      </c>
      <c r="E107" s="12">
        <v>13982</v>
      </c>
      <c r="F107" s="12">
        <v>11400</v>
      </c>
      <c r="G107" s="12">
        <v>11400</v>
      </c>
      <c r="H107" s="12">
        <v>11400</v>
      </c>
      <c r="I107" s="12">
        <v>11400</v>
      </c>
      <c r="J107" s="12">
        <v>11400</v>
      </c>
      <c r="K107" s="12"/>
    </row>
    <row r="108" spans="2:13" x14ac:dyDescent="0.25">
      <c r="B108" s="22" t="s">
        <v>97</v>
      </c>
      <c r="C108" s="12">
        <v>-321</v>
      </c>
      <c r="D108" s="12">
        <v>-252</v>
      </c>
      <c r="E108" s="12">
        <v>-314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/>
    </row>
    <row r="109" spans="2:13" x14ac:dyDescent="0.25">
      <c r="B109" s="22" t="s">
        <v>98</v>
      </c>
      <c r="C109" s="12">
        <v>-10405</v>
      </c>
      <c r="D109" s="12">
        <v>-10067</v>
      </c>
      <c r="E109" s="12">
        <v>-10495</v>
      </c>
      <c r="F109" s="12">
        <f>-(53.3%*F106)</f>
        <v>-11820.873999999998</v>
      </c>
      <c r="G109" s="12">
        <f>-(53.3%*G106)</f>
        <v>-11596.548158</v>
      </c>
      <c r="H109" s="12">
        <f>-(53.3%*H106)</f>
        <v>-11491.787989786002</v>
      </c>
      <c r="I109" s="12">
        <f>-(53.3%*I106)</f>
        <v>-11442.864991230061</v>
      </c>
      <c r="J109" s="12">
        <f>-(53.3%*J106)</f>
        <v>-11420.017950904439</v>
      </c>
      <c r="K109" s="12"/>
    </row>
    <row r="110" spans="2:13" x14ac:dyDescent="0.25">
      <c r="B110" s="31" t="s">
        <v>99</v>
      </c>
      <c r="C110" s="14">
        <f>C33</f>
        <v>19318</v>
      </c>
      <c r="D110" s="14">
        <f>D33</f>
        <v>19005</v>
      </c>
      <c r="E110" s="14">
        <f>E33</f>
        <v>22178</v>
      </c>
      <c r="F110" s="14">
        <f>SUM(F106:F109)</f>
        <v>21757.126000000004</v>
      </c>
      <c r="G110" s="14">
        <f>SUM(G106:G109)</f>
        <v>21560.577842000006</v>
      </c>
      <c r="H110" s="14">
        <f>SUM(H106:H109)</f>
        <v>21468.789852214002</v>
      </c>
      <c r="I110" s="14">
        <f>SUM(I106:I109)</f>
        <v>21425.924860983941</v>
      </c>
      <c r="J110" s="14">
        <f>SUM(J106:J109)</f>
        <v>21405.906910079502</v>
      </c>
      <c r="K110" s="15"/>
    </row>
    <row r="111" spans="2:13" x14ac:dyDescent="0.25">
      <c r="B111" s="28" t="s">
        <v>100</v>
      </c>
      <c r="C111" s="29"/>
      <c r="D111" s="29"/>
      <c r="E111" s="29"/>
      <c r="F111" s="29"/>
      <c r="G111" s="29"/>
      <c r="H111" s="29"/>
      <c r="I111" s="29"/>
      <c r="J111" s="29"/>
      <c r="L111" s="32" t="s">
        <v>101</v>
      </c>
      <c r="M111" s="33">
        <v>4.4999999999999998E-2</v>
      </c>
    </row>
    <row r="112" spans="2:13" x14ac:dyDescent="0.25">
      <c r="B112" s="9" t="s">
        <v>102</v>
      </c>
      <c r="C112" s="10"/>
      <c r="D112" s="12"/>
      <c r="E112" s="12"/>
      <c r="F112" s="12">
        <f>M112</f>
        <v>12000</v>
      </c>
      <c r="G112" s="12">
        <f>M112</f>
        <v>12000</v>
      </c>
      <c r="H112" s="12">
        <f>M112</f>
        <v>12000</v>
      </c>
      <c r="I112" s="12">
        <f>M112</f>
        <v>12000</v>
      </c>
      <c r="J112" s="12">
        <f>M112</f>
        <v>12000</v>
      </c>
      <c r="K112" s="12"/>
      <c r="L112" s="32" t="s">
        <v>102</v>
      </c>
      <c r="M112" s="34">
        <v>12000</v>
      </c>
    </row>
    <row r="113" spans="2:11" x14ac:dyDescent="0.25">
      <c r="B113" s="9" t="s">
        <v>103</v>
      </c>
      <c r="C113" s="12">
        <f>C117</f>
        <v>20357</v>
      </c>
      <c r="D113" s="12">
        <f t="shared" ref="D113:J113" si="30">C117</f>
        <v>20357</v>
      </c>
      <c r="E113" s="12">
        <f t="shared" si="30"/>
        <v>20065</v>
      </c>
      <c r="F113" s="12">
        <f t="shared" si="30"/>
        <v>23328</v>
      </c>
      <c r="G113" s="12">
        <f t="shared" si="30"/>
        <v>23777.760000000002</v>
      </c>
      <c r="H113" s="12">
        <f t="shared" si="30"/>
        <v>24247.7592</v>
      </c>
      <c r="I113" s="12">
        <f t="shared" si="30"/>
        <v>24738.908364000003</v>
      </c>
      <c r="J113" s="12">
        <f t="shared" si="30"/>
        <v>25252.159240380002</v>
      </c>
      <c r="K113" s="12"/>
    </row>
    <row r="114" spans="2:11" x14ac:dyDescent="0.25">
      <c r="B114" s="9" t="s">
        <v>104</v>
      </c>
      <c r="C114" s="12">
        <f>-C25</f>
        <v>597</v>
      </c>
      <c r="D114" s="12">
        <f>-D25</f>
        <v>705</v>
      </c>
      <c r="E114" s="12">
        <f>-E25</f>
        <v>1088</v>
      </c>
      <c r="F114" s="12">
        <f>-$M$111*F113</f>
        <v>-1049.76</v>
      </c>
      <c r="G114" s="12">
        <f>-$M$111*G113</f>
        <v>-1069.9992</v>
      </c>
      <c r="H114" s="12">
        <f>-$M$111*H113</f>
        <v>-1091.1491639999999</v>
      </c>
      <c r="I114" s="12">
        <f>-$M$111*I113</f>
        <v>-1113.2508763800001</v>
      </c>
      <c r="J114" s="12">
        <f>-$M$111*J113</f>
        <v>-1136.3471658170999</v>
      </c>
      <c r="K114" s="12"/>
    </row>
    <row r="115" spans="2:11" x14ac:dyDescent="0.25">
      <c r="B115" s="9" t="s">
        <v>105</v>
      </c>
      <c r="D115" s="12"/>
      <c r="E115" s="12"/>
      <c r="F115" s="12">
        <f>-F112</f>
        <v>-12000</v>
      </c>
      <c r="G115" s="12">
        <f>-G112</f>
        <v>-12000</v>
      </c>
      <c r="H115" s="12">
        <f>-H112</f>
        <v>-12000</v>
      </c>
      <c r="I115" s="12">
        <f>-I112</f>
        <v>-12000</v>
      </c>
      <c r="J115" s="12">
        <f>-J112</f>
        <v>-12000</v>
      </c>
      <c r="K115" s="12"/>
    </row>
    <row r="116" spans="2:11" x14ac:dyDescent="0.25">
      <c r="B116" s="9" t="s">
        <v>106</v>
      </c>
      <c r="D116" s="12"/>
      <c r="E116" s="12"/>
      <c r="F116" s="12">
        <f>F115-F114</f>
        <v>-10950.24</v>
      </c>
      <c r="G116" s="12">
        <f>G115-G114</f>
        <v>-10930.0008</v>
      </c>
      <c r="H116" s="12">
        <f>H115-H114</f>
        <v>-10908.850836</v>
      </c>
      <c r="I116" s="12">
        <f>I115-I114</f>
        <v>-10886.74912362</v>
      </c>
      <c r="J116" s="12">
        <f>J115-J114</f>
        <v>-10863.6528341829</v>
      </c>
      <c r="K116" s="12"/>
    </row>
    <row r="117" spans="2:11" x14ac:dyDescent="0.25">
      <c r="B117" s="35" t="s">
        <v>107</v>
      </c>
      <c r="C117" s="14">
        <f>C47+C55</f>
        <v>20357</v>
      </c>
      <c r="D117" s="14">
        <f>D47+D55</f>
        <v>20065</v>
      </c>
      <c r="E117" s="14">
        <f>E47+E55</f>
        <v>23328</v>
      </c>
      <c r="F117" s="14">
        <f>F113+F107+F116</f>
        <v>23777.760000000002</v>
      </c>
      <c r="G117" s="14">
        <f>G113+G107+G116</f>
        <v>24247.7592</v>
      </c>
      <c r="H117" s="14">
        <f>H113+H107+H116</f>
        <v>24738.908364000003</v>
      </c>
      <c r="I117" s="14">
        <f>I113+I107+I116</f>
        <v>25252.159240380002</v>
      </c>
      <c r="J117" s="14">
        <f>J113+J107+J116</f>
        <v>25788.506406197102</v>
      </c>
      <c r="K117" s="15"/>
    </row>
    <row r="118" spans="2:11" x14ac:dyDescent="0.25">
      <c r="B118" s="28" t="s">
        <v>108</v>
      </c>
      <c r="C118" s="29"/>
      <c r="D118" s="30"/>
      <c r="E118" s="30"/>
      <c r="F118" s="30"/>
      <c r="G118" s="30"/>
      <c r="H118" s="30"/>
      <c r="I118" s="30"/>
      <c r="J118" s="30"/>
      <c r="K118" s="12"/>
    </row>
    <row r="119" spans="2:11" x14ac:dyDescent="0.25">
      <c r="B119" s="9" t="s">
        <v>109</v>
      </c>
      <c r="C119" s="12">
        <f>C122</f>
        <v>5386</v>
      </c>
      <c r="D119" s="12">
        <f t="shared" ref="D119:J119" si="31">C122</f>
        <v>5386</v>
      </c>
      <c r="E119" s="12">
        <f t="shared" si="31"/>
        <v>4101</v>
      </c>
      <c r="F119" s="12">
        <f t="shared" si="31"/>
        <v>2910</v>
      </c>
      <c r="G119" s="12">
        <f t="shared" si="31"/>
        <v>2328</v>
      </c>
      <c r="H119" s="12">
        <f t="shared" si="31"/>
        <v>1746</v>
      </c>
      <c r="I119" s="12">
        <f t="shared" si="31"/>
        <v>1164</v>
      </c>
      <c r="J119" s="12">
        <f t="shared" si="31"/>
        <v>582</v>
      </c>
      <c r="K119" s="12"/>
    </row>
    <row r="120" spans="2:11" x14ac:dyDescent="0.25">
      <c r="B120" s="9" t="s">
        <v>110</v>
      </c>
      <c r="D120" s="12"/>
      <c r="E120" s="12"/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/>
    </row>
    <row r="121" spans="2:11" x14ac:dyDescent="0.25">
      <c r="B121" s="9" t="s">
        <v>111</v>
      </c>
      <c r="C121" s="1">
        <f>C122-C119-C120</f>
        <v>0</v>
      </c>
      <c r="D121" s="12">
        <f>D122-D119-D120</f>
        <v>-1285</v>
      </c>
      <c r="E121" s="12">
        <f>E122-E119-E120</f>
        <v>-1191</v>
      </c>
      <c r="F121" s="12">
        <f>-$E$122/5</f>
        <v>-582</v>
      </c>
      <c r="G121" s="12">
        <f>-$E$122/5</f>
        <v>-582</v>
      </c>
      <c r="H121" s="12">
        <f>-$E$122/5</f>
        <v>-582</v>
      </c>
      <c r="I121" s="12">
        <f>-$E$122/5</f>
        <v>-582</v>
      </c>
      <c r="J121" s="12">
        <f>-$E$122/5</f>
        <v>-582</v>
      </c>
      <c r="K121" s="12"/>
    </row>
    <row r="122" spans="2:11" x14ac:dyDescent="0.25">
      <c r="B122" s="31" t="s">
        <v>112</v>
      </c>
      <c r="C122" s="13">
        <f>C45+C53</f>
        <v>5386</v>
      </c>
      <c r="D122" s="14">
        <f>D45+D53</f>
        <v>4101</v>
      </c>
      <c r="E122" s="14">
        <f>E45+E53</f>
        <v>2910</v>
      </c>
      <c r="F122" s="14">
        <f>F119+F120+F121</f>
        <v>2328</v>
      </c>
      <c r="G122" s="14">
        <f>G119+G120+G121</f>
        <v>1746</v>
      </c>
      <c r="H122" s="14">
        <f>H119+H120+H121</f>
        <v>1164</v>
      </c>
      <c r="I122" s="14">
        <f>I119+I120+I121</f>
        <v>582</v>
      </c>
      <c r="J122" s="14">
        <f>J119+J120+J121</f>
        <v>0</v>
      </c>
      <c r="K122" s="15"/>
    </row>
    <row r="123" spans="2:11" x14ac:dyDescent="0.25">
      <c r="B123" s="28" t="s">
        <v>113</v>
      </c>
      <c r="C123" s="28"/>
      <c r="D123" s="36"/>
      <c r="E123" s="36"/>
      <c r="F123" s="36"/>
      <c r="G123" s="36"/>
      <c r="H123" s="36"/>
      <c r="I123" s="36"/>
      <c r="J123" s="36"/>
      <c r="K123" s="15"/>
    </row>
    <row r="124" spans="2:11" x14ac:dyDescent="0.25">
      <c r="B124" s="9" t="s">
        <v>114</v>
      </c>
      <c r="C124" s="1">
        <f>C127</f>
        <v>635</v>
      </c>
      <c r="D124" s="12">
        <f t="shared" ref="D124:J124" si="32">C127</f>
        <v>635</v>
      </c>
      <c r="E124" s="12">
        <f t="shared" si="32"/>
        <v>1179</v>
      </c>
      <c r="F124" s="12">
        <f t="shared" si="32"/>
        <v>1021</v>
      </c>
      <c r="G124" s="12">
        <f t="shared" si="32"/>
        <v>816.8</v>
      </c>
      <c r="H124" s="12">
        <f t="shared" si="32"/>
        <v>612.59999999999991</v>
      </c>
      <c r="I124" s="12">
        <f t="shared" si="32"/>
        <v>408.39999999999992</v>
      </c>
      <c r="J124" s="12">
        <f t="shared" si="32"/>
        <v>204.19999999999993</v>
      </c>
      <c r="K124" s="12"/>
    </row>
    <row r="125" spans="2:11" x14ac:dyDescent="0.25">
      <c r="B125" s="9" t="s">
        <v>115</v>
      </c>
      <c r="D125" s="12"/>
      <c r="E125" s="12"/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/>
    </row>
    <row r="126" spans="2:11" x14ac:dyDescent="0.25">
      <c r="B126" s="9" t="s">
        <v>116</v>
      </c>
      <c r="C126" s="1">
        <f>C127-C124-C125</f>
        <v>0</v>
      </c>
      <c r="D126" s="12">
        <f>D127-D124-D125</f>
        <v>544</v>
      </c>
      <c r="E126" s="12">
        <f>E127-E124-E125</f>
        <v>-158</v>
      </c>
      <c r="F126" s="12">
        <f>-$E$127/5</f>
        <v>-204.2</v>
      </c>
      <c r="G126" s="12">
        <f>-$E$127/5</f>
        <v>-204.2</v>
      </c>
      <c r="H126" s="12">
        <f>-$E$127/5</f>
        <v>-204.2</v>
      </c>
      <c r="I126" s="12">
        <f>-$E$127/5</f>
        <v>-204.2</v>
      </c>
      <c r="J126" s="12">
        <f>-$E$127/5</f>
        <v>-204.2</v>
      </c>
      <c r="K126" s="12"/>
    </row>
    <row r="127" spans="2:11" x14ac:dyDescent="0.25">
      <c r="B127" s="31" t="s">
        <v>117</v>
      </c>
      <c r="C127" s="14">
        <f>C46+C54</f>
        <v>635</v>
      </c>
      <c r="D127" s="14">
        <f>D46+D54</f>
        <v>1179</v>
      </c>
      <c r="E127" s="14">
        <f>E46+E54</f>
        <v>1021</v>
      </c>
      <c r="F127" s="14">
        <f>F124+F125+F126</f>
        <v>816.8</v>
      </c>
      <c r="G127" s="14">
        <f>G124+G125+G126</f>
        <v>612.59999999999991</v>
      </c>
      <c r="H127" s="14">
        <f>H124+H125+H126</f>
        <v>408.39999999999992</v>
      </c>
      <c r="I127" s="14">
        <f>I124+I125+I126</f>
        <v>204.19999999999993</v>
      </c>
      <c r="J127" s="14">
        <f>J124+J125+J126</f>
        <v>0</v>
      </c>
      <c r="K127" s="15"/>
    </row>
    <row r="128" spans="2:11" x14ac:dyDescent="0.25">
      <c r="B128" s="9" t="s">
        <v>118</v>
      </c>
      <c r="C128" s="12">
        <f t="shared" ref="C128:J128" si="33">C119+C124</f>
        <v>6021</v>
      </c>
      <c r="D128" s="12">
        <f t="shared" si="33"/>
        <v>6021</v>
      </c>
      <c r="E128" s="12">
        <f t="shared" si="33"/>
        <v>5280</v>
      </c>
      <c r="F128" s="12">
        <f t="shared" si="33"/>
        <v>3931</v>
      </c>
      <c r="G128" s="12">
        <f t="shared" si="33"/>
        <v>3144.8</v>
      </c>
      <c r="H128" s="12">
        <f t="shared" si="33"/>
        <v>2358.6</v>
      </c>
      <c r="I128" s="12">
        <f t="shared" si="33"/>
        <v>1572.3999999999999</v>
      </c>
      <c r="J128" s="12">
        <f t="shared" si="33"/>
        <v>786.19999999999993</v>
      </c>
      <c r="K128" s="12"/>
    </row>
    <row r="129" spans="2:11" x14ac:dyDescent="0.25">
      <c r="B129" s="9" t="s">
        <v>119</v>
      </c>
      <c r="C129" s="37">
        <v>4.4999999999999998E-2</v>
      </c>
      <c r="D129" s="37">
        <v>4.4999999999999998E-2</v>
      </c>
      <c r="E129" s="37">
        <v>4.4999999999999998E-2</v>
      </c>
      <c r="F129" s="37">
        <v>4.4999999999999998E-2</v>
      </c>
      <c r="G129" s="37">
        <v>4.4999999999999998E-2</v>
      </c>
      <c r="H129" s="37">
        <v>4.4999999999999998E-2</v>
      </c>
      <c r="I129" s="37">
        <v>4.4999999999999998E-2</v>
      </c>
      <c r="J129" s="37">
        <v>4.4999999999999998E-2</v>
      </c>
      <c r="K129" s="37"/>
    </row>
    <row r="130" spans="2:11" x14ac:dyDescent="0.25">
      <c r="B130" s="9" t="s">
        <v>120</v>
      </c>
      <c r="C130" s="37">
        <v>4.4999999999999998E-2</v>
      </c>
      <c r="D130" s="37">
        <v>4.4999999999999998E-2</v>
      </c>
      <c r="E130" s="37">
        <v>4.4999999999999998E-2</v>
      </c>
      <c r="F130" s="37">
        <v>4.4999999999999998E-2</v>
      </c>
      <c r="G130" s="37">
        <v>4.4999999999999998E-2</v>
      </c>
      <c r="H130" s="37">
        <v>4.4999999999999998E-2</v>
      </c>
      <c r="I130" s="37">
        <v>4.4999999999999998E-2</v>
      </c>
      <c r="J130" s="37">
        <v>4.4999999999999998E-2</v>
      </c>
      <c r="K130" s="37"/>
    </row>
    <row r="131" spans="2:11" x14ac:dyDescent="0.25">
      <c r="B131" s="9" t="s">
        <v>121</v>
      </c>
      <c r="C131" s="12">
        <f t="shared" ref="C131:J131" si="34">-$C$129*C119</f>
        <v>-242.37</v>
      </c>
      <c r="D131" s="12">
        <f t="shared" si="34"/>
        <v>-242.37</v>
      </c>
      <c r="E131" s="12">
        <f t="shared" si="34"/>
        <v>-184.54499999999999</v>
      </c>
      <c r="F131" s="12">
        <f t="shared" si="34"/>
        <v>-130.94999999999999</v>
      </c>
      <c r="G131" s="12">
        <f t="shared" si="34"/>
        <v>-104.75999999999999</v>
      </c>
      <c r="H131" s="12">
        <f t="shared" si="34"/>
        <v>-78.569999999999993</v>
      </c>
      <c r="I131" s="12">
        <f t="shared" si="34"/>
        <v>-52.379999999999995</v>
      </c>
      <c r="J131" s="12">
        <f t="shared" si="34"/>
        <v>-26.189999999999998</v>
      </c>
      <c r="K131" s="12"/>
    </row>
    <row r="132" spans="2:11" x14ac:dyDescent="0.25">
      <c r="B132" s="9" t="s">
        <v>122</v>
      </c>
      <c r="C132" s="12">
        <f t="shared" ref="C132:J132" si="35">-$C$130*C124</f>
        <v>-28.574999999999999</v>
      </c>
      <c r="D132" s="12">
        <f t="shared" si="35"/>
        <v>-28.574999999999999</v>
      </c>
      <c r="E132" s="12">
        <f t="shared" si="35"/>
        <v>-53.055</v>
      </c>
      <c r="F132" s="12">
        <f t="shared" si="35"/>
        <v>-45.945</v>
      </c>
      <c r="G132" s="12">
        <f t="shared" si="35"/>
        <v>-36.755999999999993</v>
      </c>
      <c r="H132" s="12">
        <f t="shared" si="35"/>
        <v>-27.566999999999997</v>
      </c>
      <c r="I132" s="12">
        <f t="shared" si="35"/>
        <v>-18.377999999999997</v>
      </c>
      <c r="J132" s="12">
        <f t="shared" si="35"/>
        <v>-9.1889999999999965</v>
      </c>
      <c r="K132" s="12"/>
    </row>
    <row r="133" spans="2:11" x14ac:dyDescent="0.25">
      <c r="B133" s="31" t="s">
        <v>123</v>
      </c>
      <c r="C133" s="14">
        <f>C131+C132</f>
        <v>-270.94499999999999</v>
      </c>
      <c r="D133" s="14">
        <f t="shared" ref="D133:J133" si="36">D131+D132</f>
        <v>-270.94499999999999</v>
      </c>
      <c r="E133" s="14">
        <f t="shared" si="36"/>
        <v>-237.6</v>
      </c>
      <c r="F133" s="14">
        <f t="shared" si="36"/>
        <v>-176.89499999999998</v>
      </c>
      <c r="G133" s="14">
        <f t="shared" si="36"/>
        <v>-141.51599999999999</v>
      </c>
      <c r="H133" s="14">
        <f t="shared" si="36"/>
        <v>-106.13699999999999</v>
      </c>
      <c r="I133" s="14">
        <f t="shared" si="36"/>
        <v>-70.757999999999996</v>
      </c>
      <c r="J133" s="14">
        <f t="shared" si="36"/>
        <v>-35.378999999999991</v>
      </c>
      <c r="K133" s="15"/>
    </row>
    <row r="135" spans="2:11" x14ac:dyDescent="0.25">
      <c r="C135" s="4"/>
      <c r="D135" s="4"/>
      <c r="E135" s="4"/>
      <c r="F135" s="4"/>
      <c r="G135" s="4"/>
      <c r="H135" s="4"/>
      <c r="I135" s="4"/>
      <c r="J135" s="4"/>
    </row>
    <row r="136" spans="2:11" x14ac:dyDescent="0.25">
      <c r="C136" s="6"/>
      <c r="D136" s="6"/>
      <c r="E136" s="6"/>
      <c r="F136" s="6"/>
      <c r="G136" s="6"/>
      <c r="H136" s="6"/>
      <c r="I136" s="6"/>
      <c r="J136" s="6"/>
    </row>
    <row r="137" spans="2:11" x14ac:dyDescent="0.25">
      <c r="C137" s="12"/>
      <c r="D137" s="12"/>
      <c r="E137" s="12"/>
      <c r="F137" s="12"/>
      <c r="G137" s="12"/>
      <c r="H137" s="12"/>
      <c r="I137" s="12"/>
      <c r="J137" s="1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2025-11-21T19:04:53Z</dcterms:created>
  <dcterms:modified xsi:type="dcterms:W3CDTF">2025-11-26T08:39:44Z</dcterms:modified>
</cp:coreProperties>
</file>