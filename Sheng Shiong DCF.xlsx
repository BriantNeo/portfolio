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ian\OneDrive\Desktop\"/>
    </mc:Choice>
  </mc:AlternateContent>
  <xr:revisionPtr revIDLastSave="0" documentId="13_ncr:1_{FD5C1989-1928-460A-B7A6-1C65EB50A00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ree Cash Flow" sheetId="2" r:id="rId1"/>
    <sheet name="Fixed Assets" sheetId="3" r:id="rId2"/>
    <sheet name="Net Working Capital" sheetId="4" r:id="rId3"/>
    <sheet name="DCF" sheetId="5" r:id="rId4"/>
    <sheet name="WACC" sheetId="6" r:id="rId5"/>
    <sheet name="Income Statement" sheetId="11" r:id="rId6"/>
    <sheet name="Balance Sheet" sheetId="13" r:id="rId7"/>
    <sheet name="Cash Flow Statement" sheetId="1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gO+XDV4Zo2EE1nvNhM8Bphb5J3BQ=="/>
    </ext>
  </extLst>
</workbook>
</file>

<file path=xl/calcChain.xml><?xml version="1.0" encoding="utf-8"?>
<calcChain xmlns="http://schemas.openxmlformats.org/spreadsheetml/2006/main">
  <c r="F17" i="5" l="1"/>
  <c r="F16" i="5"/>
  <c r="F13" i="5"/>
  <c r="F14" i="5"/>
  <c r="G12" i="5"/>
  <c r="H12" i="5"/>
  <c r="K12" i="5"/>
  <c r="J12" i="5"/>
  <c r="C18" i="5"/>
  <c r="C17" i="5"/>
  <c r="C16" i="5"/>
  <c r="C13" i="5"/>
  <c r="C14" i="5" s="1"/>
  <c r="K7" i="5"/>
  <c r="H7" i="5"/>
  <c r="I7" i="5"/>
  <c r="J7" i="5"/>
  <c r="G7" i="5"/>
  <c r="C12" i="5"/>
  <c r="C18" i="6"/>
  <c r="C16" i="6"/>
  <c r="C12" i="6"/>
  <c r="C15" i="6"/>
  <c r="C9" i="6"/>
  <c r="C6" i="6"/>
  <c r="F9" i="6"/>
  <c r="G7" i="6"/>
  <c r="F7" i="6"/>
  <c r="C7" i="6"/>
  <c r="C3" i="6"/>
  <c r="C4" i="6"/>
  <c r="C8" i="6" s="1"/>
  <c r="D29" i="14"/>
  <c r="E29" i="14"/>
  <c r="C29" i="14"/>
  <c r="E16" i="2"/>
  <c r="D17" i="2"/>
  <c r="D16" i="2" s="1"/>
  <c r="E17" i="2"/>
  <c r="C17" i="2"/>
  <c r="D19" i="2"/>
  <c r="E19" i="2"/>
  <c r="C19" i="2"/>
  <c r="D18" i="2"/>
  <c r="E18" i="2"/>
  <c r="C18" i="2"/>
  <c r="G11" i="4"/>
  <c r="H11" i="4"/>
  <c r="I11" i="4"/>
  <c r="J11" i="4"/>
  <c r="F11" i="4"/>
  <c r="C27" i="4"/>
  <c r="C26" i="4"/>
  <c r="C25" i="4"/>
  <c r="E21" i="4"/>
  <c r="D18" i="4"/>
  <c r="E18" i="4"/>
  <c r="C18" i="4"/>
  <c r="D17" i="4"/>
  <c r="D20" i="4" s="1"/>
  <c r="E17" i="4"/>
  <c r="E25" i="4" s="1"/>
  <c r="C17" i="4"/>
  <c r="C21" i="4" s="1"/>
  <c r="C13" i="4"/>
  <c r="D12" i="4"/>
  <c r="E12" i="4"/>
  <c r="E13" i="4" s="1"/>
  <c r="C12" i="4"/>
  <c r="D11" i="4"/>
  <c r="E11" i="4"/>
  <c r="C11" i="4"/>
  <c r="D10" i="4"/>
  <c r="E10" i="4"/>
  <c r="C10" i="4"/>
  <c r="D9" i="4"/>
  <c r="D22" i="4" s="1"/>
  <c r="E9" i="4"/>
  <c r="E22" i="4" s="1"/>
  <c r="C9" i="4"/>
  <c r="C22" i="4" s="1"/>
  <c r="D6" i="4"/>
  <c r="E6" i="4"/>
  <c r="E7" i="4" s="1"/>
  <c r="C6" i="4"/>
  <c r="C24" i="4" s="1"/>
  <c r="D5" i="4"/>
  <c r="E5" i="4"/>
  <c r="C5" i="4"/>
  <c r="D4" i="4"/>
  <c r="E4" i="4"/>
  <c r="C4" i="4"/>
  <c r="D15" i="2"/>
  <c r="E15" i="2"/>
  <c r="F15" i="2"/>
  <c r="G15" i="2"/>
  <c r="H15" i="2"/>
  <c r="I15" i="2"/>
  <c r="J15" i="2"/>
  <c r="C15" i="2"/>
  <c r="D14" i="2"/>
  <c r="E14" i="2"/>
  <c r="C14" i="2"/>
  <c r="D12" i="2"/>
  <c r="D13" i="2" s="1"/>
  <c r="D20" i="2" s="1"/>
  <c r="E4" i="5" s="1"/>
  <c r="E12" i="2"/>
  <c r="E13" i="2" s="1"/>
  <c r="E20" i="2" s="1"/>
  <c r="F4" i="5" s="1"/>
  <c r="C12" i="2"/>
  <c r="C13" i="2" s="1"/>
  <c r="C20" i="2" s="1"/>
  <c r="D4" i="5" s="1"/>
  <c r="F29" i="2"/>
  <c r="G29" i="2" s="1"/>
  <c r="H29" i="2" s="1"/>
  <c r="I29" i="2" s="1"/>
  <c r="J29" i="2" s="1"/>
  <c r="E29" i="2"/>
  <c r="D29" i="2"/>
  <c r="C29" i="2"/>
  <c r="F28" i="2"/>
  <c r="G28" i="2" s="1"/>
  <c r="D28" i="2"/>
  <c r="E28" i="2"/>
  <c r="C28" i="2"/>
  <c r="D10" i="2"/>
  <c r="E10" i="2"/>
  <c r="C10" i="2"/>
  <c r="G4" i="3"/>
  <c r="G5" i="3" s="1"/>
  <c r="F4" i="3"/>
  <c r="F9" i="3" s="1"/>
  <c r="F5" i="3"/>
  <c r="F6" i="3"/>
  <c r="G13" i="3"/>
  <c r="H13" i="3" s="1"/>
  <c r="F13" i="3"/>
  <c r="D14" i="3"/>
  <c r="E14" i="3"/>
  <c r="C14" i="3"/>
  <c r="D13" i="3"/>
  <c r="E13" i="3"/>
  <c r="C13" i="3"/>
  <c r="E9" i="3"/>
  <c r="E4" i="3"/>
  <c r="D9" i="3"/>
  <c r="D4" i="3"/>
  <c r="C9" i="3"/>
  <c r="D7" i="3"/>
  <c r="E7" i="3"/>
  <c r="C7" i="3"/>
  <c r="D6" i="3"/>
  <c r="E6" i="3"/>
  <c r="C6" i="3"/>
  <c r="D5" i="3"/>
  <c r="E5" i="3"/>
  <c r="C5" i="3"/>
  <c r="E4" i="14"/>
  <c r="D4" i="14"/>
  <c r="C4" i="14"/>
  <c r="C5" i="2"/>
  <c r="D5" i="2"/>
  <c r="E5" i="2"/>
  <c r="D4" i="2"/>
  <c r="E4" i="2"/>
  <c r="C4" i="2"/>
  <c r="D34" i="14"/>
  <c r="E34" i="14"/>
  <c r="D23" i="14"/>
  <c r="E23" i="14"/>
  <c r="C34" i="14"/>
  <c r="C23" i="14"/>
  <c r="D30" i="13"/>
  <c r="E30" i="13"/>
  <c r="C30" i="13"/>
  <c r="E25" i="13"/>
  <c r="E27" i="13" s="1"/>
  <c r="E29" i="13" s="1"/>
  <c r="D25" i="13"/>
  <c r="D27" i="13" s="1"/>
  <c r="D29" i="13" s="1"/>
  <c r="C25" i="13"/>
  <c r="C27" i="13" s="1"/>
  <c r="C29" i="13" s="1"/>
  <c r="D21" i="13"/>
  <c r="E21" i="13"/>
  <c r="C21" i="13"/>
  <c r="D16" i="13"/>
  <c r="E16" i="13"/>
  <c r="C16" i="13"/>
  <c r="D6" i="13"/>
  <c r="E6" i="13"/>
  <c r="D10" i="13"/>
  <c r="E10" i="13"/>
  <c r="C10" i="13"/>
  <c r="C6" i="13"/>
  <c r="C11" i="13" s="1"/>
  <c r="C5" i="11"/>
  <c r="E7" i="11"/>
  <c r="E7" i="2" s="1"/>
  <c r="E8" i="2" s="1"/>
  <c r="D7" i="11"/>
  <c r="D7" i="2" s="1"/>
  <c r="D8" i="2" s="1"/>
  <c r="C7" i="11"/>
  <c r="C7" i="2" s="1"/>
  <c r="C8" i="2" s="1"/>
  <c r="D5" i="11"/>
  <c r="E5" i="11"/>
  <c r="C23" i="2" a="1"/>
  <c r="C23" i="2" s="1"/>
  <c r="B23" i="2"/>
  <c r="C10" i="5" l="1"/>
  <c r="C15" i="5"/>
  <c r="C19" i="5" s="1"/>
  <c r="C21" i="5" s="1"/>
  <c r="F12" i="5" s="1"/>
  <c r="H28" i="2"/>
  <c r="F25" i="4"/>
  <c r="D26" i="4"/>
  <c r="D25" i="4"/>
  <c r="E26" i="4"/>
  <c r="E27" i="4"/>
  <c r="G27" i="4" s="1"/>
  <c r="D27" i="4"/>
  <c r="F27" i="4" s="1"/>
  <c r="D21" i="4"/>
  <c r="F21" i="4"/>
  <c r="C20" i="4"/>
  <c r="F20" i="4" s="1"/>
  <c r="E20" i="4"/>
  <c r="D24" i="4"/>
  <c r="F24" i="4"/>
  <c r="G21" i="4"/>
  <c r="F22" i="4"/>
  <c r="C7" i="4"/>
  <c r="D13" i="4"/>
  <c r="E24" i="4"/>
  <c r="D7" i="4"/>
  <c r="D8" i="11"/>
  <c r="E24" i="2"/>
  <c r="E27" i="2"/>
  <c r="C27" i="2"/>
  <c r="D27" i="2"/>
  <c r="C25" i="2"/>
  <c r="D24" i="2"/>
  <c r="E26" i="2"/>
  <c r="C26" i="2"/>
  <c r="E25" i="2"/>
  <c r="D25" i="2"/>
  <c r="G6" i="3"/>
  <c r="G9" i="3"/>
  <c r="H4" i="3" s="1"/>
  <c r="I13" i="3"/>
  <c r="J13" i="3" s="1"/>
  <c r="D26" i="2"/>
  <c r="D6" i="2"/>
  <c r="C6" i="2"/>
  <c r="E6" i="2"/>
  <c r="C22" i="13"/>
  <c r="E11" i="13"/>
  <c r="E22" i="13"/>
  <c r="D22" i="13"/>
  <c r="D11" i="13"/>
  <c r="E8" i="11"/>
  <c r="E11" i="2" s="1"/>
  <c r="E9" i="2" s="1"/>
  <c r="C8" i="11"/>
  <c r="C11" i="2" s="1"/>
  <c r="C9" i="2" s="1"/>
  <c r="E12" i="11"/>
  <c r="E14" i="11" s="1"/>
  <c r="E3" i="14" s="1"/>
  <c r="E12" i="14" s="1"/>
  <c r="E17" i="14" s="1"/>
  <c r="G25" i="4" l="1"/>
  <c r="I28" i="2"/>
  <c r="H27" i="4"/>
  <c r="I27" i="4"/>
  <c r="G20" i="4"/>
  <c r="G24" i="4"/>
  <c r="H20" i="4"/>
  <c r="H21" i="4"/>
  <c r="G22" i="4"/>
  <c r="D12" i="11"/>
  <c r="D14" i="11" s="1"/>
  <c r="D3" i="14" s="1"/>
  <c r="D12" i="14" s="1"/>
  <c r="D17" i="14" s="1"/>
  <c r="D11" i="2"/>
  <c r="D9" i="2" s="1"/>
  <c r="C12" i="11"/>
  <c r="C14" i="11" s="1"/>
  <c r="C3" i="14" s="1"/>
  <c r="C12" i="14" s="1"/>
  <c r="C17" i="14" s="1"/>
  <c r="F24" i="2"/>
  <c r="F25" i="2"/>
  <c r="G25" i="2" s="1"/>
  <c r="H25" i="2" s="1"/>
  <c r="F27" i="2"/>
  <c r="G27" i="2" s="1"/>
  <c r="H27" i="2" s="1"/>
  <c r="F26" i="2"/>
  <c r="G26" i="2" s="1"/>
  <c r="G24" i="2"/>
  <c r="F4" i="2"/>
  <c r="H5" i="3"/>
  <c r="H6" i="3"/>
  <c r="H9" i="3"/>
  <c r="I4" i="3" s="1"/>
  <c r="F17" i="4" l="1"/>
  <c r="F11" i="2"/>
  <c r="J27" i="4"/>
  <c r="J28" i="2"/>
  <c r="H25" i="4"/>
  <c r="H24" i="4"/>
  <c r="H22" i="4"/>
  <c r="I21" i="4"/>
  <c r="I20" i="4"/>
  <c r="F10" i="2"/>
  <c r="F14" i="2" s="1"/>
  <c r="F7" i="2"/>
  <c r="F8" i="2" s="1"/>
  <c r="F5" i="2"/>
  <c r="I27" i="2"/>
  <c r="H24" i="2"/>
  <c r="I24" i="2" s="1"/>
  <c r="J24" i="2" s="1"/>
  <c r="G4" i="2"/>
  <c r="I6" i="3"/>
  <c r="I5" i="3"/>
  <c r="I9" i="3" s="1"/>
  <c r="J4" i="3" s="1"/>
  <c r="H26" i="2"/>
  <c r="I26" i="2" s="1"/>
  <c r="I25" i="2"/>
  <c r="I25" i="4" l="1"/>
  <c r="G10" i="2"/>
  <c r="G14" i="2" s="1"/>
  <c r="G17" i="4"/>
  <c r="G11" i="2"/>
  <c r="F6" i="2"/>
  <c r="F18" i="4"/>
  <c r="F9" i="4" s="1"/>
  <c r="F12" i="2"/>
  <c r="F9" i="2"/>
  <c r="F13" i="2"/>
  <c r="F5" i="4"/>
  <c r="F10" i="4"/>
  <c r="F12" i="4"/>
  <c r="F6" i="4"/>
  <c r="F4" i="4"/>
  <c r="I22" i="4"/>
  <c r="I24" i="4"/>
  <c r="J20" i="4"/>
  <c r="J21" i="4"/>
  <c r="J27" i="2"/>
  <c r="H4" i="2"/>
  <c r="G5" i="2"/>
  <c r="G7" i="2"/>
  <c r="G8" i="2" s="1"/>
  <c r="J5" i="3"/>
  <c r="J6" i="3"/>
  <c r="J9" i="3"/>
  <c r="J26" i="2"/>
  <c r="J25" i="2"/>
  <c r="G6" i="2" l="1"/>
  <c r="G18" i="4"/>
  <c r="G9" i="4" s="1"/>
  <c r="H10" i="2"/>
  <c r="H14" i="2" s="1"/>
  <c r="H17" i="4"/>
  <c r="H11" i="2"/>
  <c r="F13" i="4"/>
  <c r="F19" i="2" s="1"/>
  <c r="G9" i="2"/>
  <c r="G12" i="2"/>
  <c r="G13" i="2"/>
  <c r="G4" i="4"/>
  <c r="G12" i="4"/>
  <c r="G5" i="4"/>
  <c r="G10" i="4"/>
  <c r="G6" i="4"/>
  <c r="F7" i="4"/>
  <c r="F18" i="2" s="1"/>
  <c r="J25" i="4"/>
  <c r="J24" i="4"/>
  <c r="J22" i="4"/>
  <c r="H7" i="2"/>
  <c r="H8" i="2" s="1"/>
  <c r="I4" i="2"/>
  <c r="H5" i="2"/>
  <c r="H6" i="2" l="1"/>
  <c r="H18" i="4"/>
  <c r="H9" i="4" s="1"/>
  <c r="H9" i="2"/>
  <c r="H12" i="2"/>
  <c r="H13" i="2" s="1"/>
  <c r="H4" i="4"/>
  <c r="H7" i="4" s="1"/>
  <c r="H18" i="2" s="1"/>
  <c r="H12" i="4"/>
  <c r="H5" i="4"/>
  <c r="H10" i="4"/>
  <c r="H6" i="4"/>
  <c r="G13" i="4"/>
  <c r="G19" i="2" s="1"/>
  <c r="I10" i="2"/>
  <c r="I14" i="2" s="1"/>
  <c r="I17" i="4"/>
  <c r="I11" i="2"/>
  <c r="F17" i="2"/>
  <c r="F16" i="2" s="1"/>
  <c r="F20" i="2" s="1"/>
  <c r="G4" i="5" s="1"/>
  <c r="G7" i="4"/>
  <c r="G18" i="2" s="1"/>
  <c r="J4" i="2"/>
  <c r="I7" i="2"/>
  <c r="I8" i="2" s="1"/>
  <c r="I5" i="2"/>
  <c r="I12" i="4" l="1"/>
  <c r="I4" i="4"/>
  <c r="I5" i="4"/>
  <c r="I10" i="4"/>
  <c r="I6" i="4"/>
  <c r="I12" i="2"/>
  <c r="I13" i="2" s="1"/>
  <c r="I9" i="2"/>
  <c r="I6" i="2"/>
  <c r="I18" i="4"/>
  <c r="I9" i="4" s="1"/>
  <c r="J10" i="2"/>
  <c r="J14" i="2" s="1"/>
  <c r="J17" i="4"/>
  <c r="J11" i="2"/>
  <c r="G17" i="2"/>
  <c r="G16" i="2" s="1"/>
  <c r="G20" i="2" s="1"/>
  <c r="H4" i="5" s="1"/>
  <c r="H13" i="4"/>
  <c r="H19" i="2" s="1"/>
  <c r="H17" i="2" s="1"/>
  <c r="H16" i="2" s="1"/>
  <c r="H20" i="2" s="1"/>
  <c r="I4" i="5" s="1"/>
  <c r="J5" i="2"/>
  <c r="J7" i="2"/>
  <c r="J8" i="2" s="1"/>
  <c r="J12" i="4" l="1"/>
  <c r="J5" i="4"/>
  <c r="J4" i="4"/>
  <c r="J6" i="4"/>
  <c r="J7" i="4" s="1"/>
  <c r="J18" i="2" s="1"/>
  <c r="J10" i="4"/>
  <c r="J6" i="2"/>
  <c r="J18" i="4"/>
  <c r="J9" i="4" s="1"/>
  <c r="J9" i="2"/>
  <c r="J12" i="2"/>
  <c r="J13" i="2"/>
  <c r="I13" i="4"/>
  <c r="I19" i="2" s="1"/>
  <c r="I7" i="4"/>
  <c r="I18" i="2" s="1"/>
  <c r="I17" i="2" s="1"/>
  <c r="I16" i="2" s="1"/>
  <c r="I20" i="2" s="1"/>
  <c r="J4" i="5" s="1"/>
  <c r="J13" i="4" l="1"/>
  <c r="J19" i="2" s="1"/>
  <c r="J17" i="2"/>
  <c r="J16" i="2" s="1"/>
  <c r="J20" i="2" s="1"/>
  <c r="K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<sst xmlns="http://schemas.openxmlformats.org/spreadsheetml/2006/main" count="179" uniqueCount="139">
  <si>
    <t>Unlevered Free Cash Flow (mm)</t>
  </si>
  <si>
    <t>Fiscal Year</t>
  </si>
  <si>
    <t>Revenue</t>
  </si>
  <si>
    <t>COGS</t>
  </si>
  <si>
    <t>Gross Profit</t>
  </si>
  <si>
    <t>Selling, General, Administrative</t>
  </si>
  <si>
    <t>Total Operating Expenses</t>
  </si>
  <si>
    <t>EBITDA</t>
  </si>
  <si>
    <t>Depreciation &amp; Amortization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</si>
  <si>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</si>
  <si>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</si>
  <si>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</si>
  <si>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</si>
  <si>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</si>
  <si>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</si>
  <si>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</si>
  <si>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</si>
  <si>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</si>
  <si>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</si>
  <si>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Assumptions</t>
  </si>
  <si>
    <t>Revenue Growth</t>
  </si>
  <si>
    <t>COGS % of Revenue</t>
  </si>
  <si>
    <t>SG&amp;A % of Revenue</t>
  </si>
  <si>
    <t>Tax % of EBIT</t>
  </si>
  <si>
    <t>Fixed Assets Schedule</t>
  </si>
  <si>
    <t>Ending PP&amp;E</t>
  </si>
  <si>
    <t>Net Working Capital</t>
  </si>
  <si>
    <t>Accounts Receivables</t>
  </si>
  <si>
    <t>Accounts Payable</t>
  </si>
  <si>
    <t>Current Liabilities</t>
  </si>
  <si>
    <t>Days Sales Outstanding (DSO)</t>
  </si>
  <si>
    <t>Days Inventory Outstanding (DIO)</t>
  </si>
  <si>
    <t>Days Payable Outstanding (DPO)</t>
  </si>
  <si>
    <t>Projection Year</t>
  </si>
  <si>
    <t>Present Value of Free Cash Flow</t>
  </si>
  <si>
    <t>Implied Share Price Calculation</t>
  </si>
  <si>
    <t>Sensitivity Table</t>
  </si>
  <si>
    <t>Sum of PV of FCF</t>
  </si>
  <si>
    <t>Growth Rate</t>
  </si>
  <si>
    <t>WACC</t>
  </si>
  <si>
    <t>Terminal Value</t>
  </si>
  <si>
    <t>PV of Terminal Value</t>
  </si>
  <si>
    <t>Enterprise Value</t>
  </si>
  <si>
    <t>(+) Cash</t>
  </si>
  <si>
    <t>(-) Debt</t>
  </si>
  <si>
    <t>(-) Minority Interest</t>
  </si>
  <si>
    <t>Equity Value</t>
  </si>
  <si>
    <t>Diluted Shares Outstanding (mm)</t>
  </si>
  <si>
    <t>Implied Share Price</t>
  </si>
  <si>
    <t>Weighted Average Cost of Capital (WACC)</t>
  </si>
  <si>
    <t>Equity (mm)</t>
  </si>
  <si>
    <t>Debt (mm)</t>
  </si>
  <si>
    <t>Cost of Debt</t>
  </si>
  <si>
    <t>Tax Rate</t>
  </si>
  <si>
    <t>D/(D+E)</t>
  </si>
  <si>
    <t>After Tax Cost of Debt</t>
  </si>
  <si>
    <t>Expected Market Return</t>
  </si>
  <si>
    <t>Market Risk Premium</t>
  </si>
  <si>
    <t>Levered Beta</t>
  </si>
  <si>
    <t>E/(D+E)</t>
  </si>
  <si>
    <t>Cost of Equity</t>
  </si>
  <si>
    <t>Income Statement</t>
  </si>
  <si>
    <t>Balance Sheet</t>
  </si>
  <si>
    <t>Cash Flow Statement</t>
  </si>
  <si>
    <t>Cost of Sales (COGS)</t>
  </si>
  <si>
    <t>Other Income</t>
  </si>
  <si>
    <t>SG&amp;A</t>
  </si>
  <si>
    <t>Finance Income</t>
  </si>
  <si>
    <t>Finance Expenses</t>
  </si>
  <si>
    <t>Profit Before Tax (PBT)</t>
  </si>
  <si>
    <t>Tax Expense</t>
  </si>
  <si>
    <t>Net Income</t>
  </si>
  <si>
    <t>Property, Plant &amp; Equipment (PP&amp;E)</t>
  </si>
  <si>
    <t>Right-of-use Assets (ROU)</t>
  </si>
  <si>
    <t>Total Non-Current Assets</t>
  </si>
  <si>
    <t>Inventories</t>
  </si>
  <si>
    <t>Accounts Receivable</t>
  </si>
  <si>
    <t>Cash &amp; Cash Equivalents</t>
  </si>
  <si>
    <t>Total Current Assets</t>
  </si>
  <si>
    <t>Total Assets</t>
  </si>
  <si>
    <t>Share Capital</t>
  </si>
  <si>
    <t>Reserves</t>
  </si>
  <si>
    <t>Accumulated Profits</t>
  </si>
  <si>
    <t>Shareholders' Equity</t>
  </si>
  <si>
    <t>Non-Controlling Interest (NCI)</t>
  </si>
  <si>
    <t>Total Equity</t>
  </si>
  <si>
    <t>Lease Liabilities</t>
  </si>
  <si>
    <t>Deferred Tax Liabilities</t>
  </si>
  <si>
    <t>Total Non-Current Liabilities</t>
  </si>
  <si>
    <t>Tax Payable</t>
  </si>
  <si>
    <t>Total Current Liabilities</t>
  </si>
  <si>
    <t>Total Liabilities</t>
  </si>
  <si>
    <t>Gain on disposal of PPE</t>
  </si>
  <si>
    <t>Gain on derecognition of ROU</t>
  </si>
  <si>
    <t>Unrealised Exchange Gain</t>
  </si>
  <si>
    <t>Interest Income</t>
  </si>
  <si>
    <t>Interest Expense</t>
  </si>
  <si>
    <t>Operating Profit before WC Changes</t>
  </si>
  <si>
    <t>Change in Inventories</t>
  </si>
  <si>
    <t>Change in Accounts Payable</t>
  </si>
  <si>
    <t>Change in Accounts Receivable</t>
  </si>
  <si>
    <t>Taxes Paid</t>
  </si>
  <si>
    <t>Purchase of PPE</t>
  </si>
  <si>
    <t>Interest Received</t>
  </si>
  <si>
    <t>Dividends Paid</t>
  </si>
  <si>
    <t>Payment of Lease Liabilities</t>
  </si>
  <si>
    <t>Repayment of Borrowing</t>
  </si>
  <si>
    <t>Interest Paid on Lease Liabilities</t>
  </si>
  <si>
    <t>Cash Flow from Financing (CFF)</t>
  </si>
  <si>
    <t>Cash Flow from Investing (CFI)</t>
  </si>
  <si>
    <t>Cash Flow from Operations (CFO)</t>
  </si>
  <si>
    <t>Net Increase/(Decrease) in Cash</t>
  </si>
  <si>
    <t>Opening Cash Balance</t>
  </si>
  <si>
    <t>FX Changes</t>
  </si>
  <si>
    <t>Closing Cash Balance</t>
  </si>
  <si>
    <t>-</t>
  </si>
  <si>
    <t>Provision for reinstatement costs</t>
  </si>
  <si>
    <t>Balance Check:</t>
  </si>
  <si>
    <t>Acquisition of a Subsidiary</t>
  </si>
  <si>
    <t>Investment Property</t>
  </si>
  <si>
    <t>Depreciation of ROU</t>
  </si>
  <si>
    <t>Depreciation of PPE</t>
  </si>
  <si>
    <t>Beginning PPE</t>
  </si>
  <si>
    <t>D&amp;A as a % of Beginning PPE</t>
  </si>
  <si>
    <t>CapEx as a % of Beginning PPE</t>
  </si>
  <si>
    <t>Other Movements</t>
  </si>
  <si>
    <t>Disposals</t>
  </si>
  <si>
    <t>Proceeds from disposal of PPE</t>
  </si>
  <si>
    <t>CapEx (Purchase of PPE)</t>
  </si>
  <si>
    <t>D&amp;A % of Revenue</t>
  </si>
  <si>
    <t>EBIT Margin</t>
  </si>
  <si>
    <t>Inventory</t>
  </si>
  <si>
    <t>Tax Payable as a % of Revenue</t>
  </si>
  <si>
    <t>Provision for reinstatement costs as a % of Revenue</t>
  </si>
  <si>
    <t>Lease Liabilities as a % of Revenue</t>
  </si>
  <si>
    <t>Cash as a % of Revenue</t>
  </si>
  <si>
    <t>Total Lease Debt</t>
  </si>
  <si>
    <t>Average Debt</t>
  </si>
  <si>
    <t>Risk Free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</si>
</sst>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A"/>
    <numFmt numFmtId="165" formatCode="#,##0_);\(#,##0\);\-\-_)"/>
    <numFmt numFmtId="166" formatCode="0.0%"/>
    <numFmt numFmtId="167" formatCode="0.0"/>
    <numFmt numFmtId="168" formatCode="#,###_);\(#,##0\)"/>
    <numFmt numFmtId="169" formatCode="#,##0_);\(#,##0\)"/>
  </numFmts>
  <fonts count="7" x14ac:knownFonts="1">
    <font>
      <sz val="11"/>
      <color theme="1"/>
      <name val="Calibri"/>
      <scheme val="minor"/>
    </font>
    <font>
      <sz val="14"/>
      <color theme="1"/>
      <name val="Arial Narrow"/>
      <family val="2"/>
    </font>
    <font>
      <sz val="14"/>
      <color theme="0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sz val="14"/>
      <color rgb="FF0000FF"/>
      <name val="Arial Narrow"/>
      <family val="2"/>
    </font>
    <font>
      <b/>
      <sz val="14"/>
      <color theme="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A3E68"/>
        <bgColor rgb="FF2A3E68"/>
      </patternFill>
    </fill>
    <fill>
      <patternFill patternType="solid">
        <fgColor rgb="FFFFFF99"/>
        <bgColor rgb="FFFFFF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0" tint="-4.9989318521683403E-2"/>
        <bgColor rgb="FFFFFF99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3" fillId="0" borderId="0" xfId="0" applyFont="1"/>
    <xf numFmtId="0" fontId="3" fillId="4" borderId="4" xfId="0" applyFont="1" applyFill="1" applyBorder="1"/>
    <xf numFmtId="165" fontId="3" fillId="4" borderId="4" xfId="0" applyNumberFormat="1" applyFont="1" applyFill="1" applyBorder="1"/>
    <xf numFmtId="3" fontId="1" fillId="0" borderId="0" xfId="0" applyNumberFormat="1" applyFont="1"/>
    <xf numFmtId="166" fontId="1" fillId="0" borderId="0" xfId="0" applyNumberFormat="1" applyFont="1"/>
    <xf numFmtId="10" fontId="1" fillId="2" borderId="1" xfId="0" applyNumberFormat="1" applyFont="1" applyFill="1" applyBorder="1"/>
    <xf numFmtId="4" fontId="1" fillId="2" borderId="1" xfId="0" applyNumberFormat="1" applyFont="1" applyFill="1" applyBorder="1"/>
    <xf numFmtId="4" fontId="2" fillId="3" borderId="1" xfId="0" applyNumberFormat="1" applyFont="1" applyFill="1" applyBorder="1"/>
    <xf numFmtId="166" fontId="3" fillId="0" borderId="0" xfId="0" applyNumberFormat="1" applyFont="1"/>
    <xf numFmtId="166" fontId="3" fillId="4" borderId="4" xfId="0" applyNumberFormat="1" applyFont="1" applyFill="1" applyBorder="1"/>
    <xf numFmtId="0" fontId="1" fillId="5" borderId="0" xfId="0" applyFont="1" applyFill="1"/>
    <xf numFmtId="165" fontId="1" fillId="5" borderId="0" xfId="0" applyNumberFormat="1" applyFont="1" applyFill="1"/>
    <xf numFmtId="0" fontId="1" fillId="5" borderId="3" xfId="0" applyFont="1" applyFill="1" applyBorder="1"/>
    <xf numFmtId="165" fontId="1" fillId="5" borderId="3" xfId="0" applyNumberFormat="1" applyFont="1" applyFill="1" applyBorder="1"/>
    <xf numFmtId="0" fontId="3" fillId="5" borderId="0" xfId="0" applyFont="1" applyFill="1"/>
    <xf numFmtId="165" fontId="3" fillId="5" borderId="0" xfId="0" applyNumberFormat="1" applyFont="1" applyFill="1"/>
    <xf numFmtId="0" fontId="1" fillId="5" borderId="0" xfId="0" applyFont="1" applyFill="1" applyAlignment="1">
      <alignment horizontal="left"/>
    </xf>
    <xf numFmtId="0" fontId="1" fillId="6" borderId="1" xfId="0" applyFont="1" applyFill="1" applyBorder="1"/>
    <xf numFmtId="166" fontId="1" fillId="6" borderId="1" xfId="0" applyNumberFormat="1" applyFont="1" applyFill="1" applyBorder="1"/>
    <xf numFmtId="3" fontId="1" fillId="5" borderId="0" xfId="0" applyNumberFormat="1" applyFont="1" applyFill="1"/>
    <xf numFmtId="0" fontId="3" fillId="5" borderId="5" xfId="0" applyFont="1" applyFill="1" applyBorder="1"/>
    <xf numFmtId="3" fontId="3" fillId="5" borderId="5" xfId="0" applyNumberFormat="1" applyFont="1" applyFill="1" applyBorder="1"/>
    <xf numFmtId="3" fontId="1" fillId="6" borderId="1" xfId="0" applyNumberFormat="1" applyFont="1" applyFill="1" applyBorder="1"/>
    <xf numFmtId="167" fontId="1" fillId="6" borderId="1" xfId="0" applyNumberFormat="1" applyFont="1" applyFill="1" applyBorder="1"/>
    <xf numFmtId="0" fontId="1" fillId="5" borderId="5" xfId="0" applyFont="1" applyFill="1" applyBorder="1"/>
    <xf numFmtId="3" fontId="1" fillId="5" borderId="5" xfId="0" applyNumberFormat="1" applyFont="1" applyFill="1" applyBorder="1"/>
    <xf numFmtId="9" fontId="5" fillId="5" borderId="0" xfId="0" applyNumberFormat="1" applyFont="1" applyFill="1"/>
    <xf numFmtId="166" fontId="1" fillId="5" borderId="0" xfId="0" applyNumberFormat="1" applyFont="1" applyFill="1"/>
    <xf numFmtId="0" fontId="3" fillId="7" borderId="4" xfId="0" applyFont="1" applyFill="1" applyBorder="1"/>
    <xf numFmtId="4" fontId="3" fillId="7" borderId="4" xfId="0" applyNumberFormat="1" applyFont="1" applyFill="1" applyBorder="1"/>
    <xf numFmtId="4" fontId="1" fillId="5" borderId="0" xfId="0" applyNumberFormat="1" applyFont="1" applyFill="1"/>
    <xf numFmtId="3" fontId="5" fillId="5" borderId="0" xfId="0" applyNumberFormat="1" applyFont="1" applyFill="1"/>
    <xf numFmtId="166" fontId="5" fillId="5" borderId="0" xfId="0" applyNumberFormat="1" applyFont="1" applyFill="1"/>
    <xf numFmtId="166" fontId="3" fillId="5" borderId="5" xfId="0" applyNumberFormat="1" applyFont="1" applyFill="1" applyBorder="1"/>
    <xf numFmtId="0" fontId="5" fillId="5" borderId="0" xfId="0" applyFont="1" applyFill="1"/>
    <xf numFmtId="0" fontId="3" fillId="5" borderId="12" xfId="0" applyFont="1" applyFill="1" applyBorder="1"/>
    <xf numFmtId="0" fontId="3" fillId="5" borderId="13" xfId="0" applyFont="1" applyFill="1" applyBorder="1"/>
    <xf numFmtId="3" fontId="3" fillId="5" borderId="12" xfId="0" applyNumberFormat="1" applyFont="1" applyFill="1" applyBorder="1"/>
    <xf numFmtId="168" fontId="3" fillId="5" borderId="12" xfId="0" applyNumberFormat="1" applyFont="1" applyFill="1" applyBorder="1"/>
    <xf numFmtId="169" fontId="1" fillId="5" borderId="0" xfId="0" applyNumberFormat="1" applyFont="1" applyFill="1"/>
    <xf numFmtId="168" fontId="3" fillId="5" borderId="13" xfId="0" applyNumberFormat="1" applyFont="1" applyFill="1" applyBorder="1"/>
    <xf numFmtId="0" fontId="6" fillId="8" borderId="0" xfId="0" applyFont="1" applyFill="1"/>
    <xf numFmtId="0" fontId="1" fillId="0" borderId="11" xfId="0" applyFont="1" applyBorder="1" applyAlignment="1">
      <alignment horizontal="centerContinuous"/>
    </xf>
    <xf numFmtId="0" fontId="1" fillId="0" borderId="11" xfId="0" applyFont="1" applyBorder="1"/>
    <xf numFmtId="0" fontId="3" fillId="0" borderId="11" xfId="0" applyFont="1" applyBorder="1"/>
    <xf numFmtId="0" fontId="6" fillId="9" borderId="0" xfId="0" applyFont="1" applyFill="1"/>
    <xf numFmtId="0" fontId="2" fillId="9" borderId="0" xfId="0" applyFont="1" applyFill="1"/>
    <xf numFmtId="3" fontId="3" fillId="5" borderId="13" xfId="0" applyNumberFormat="1" applyFont="1" applyFill="1" applyBorder="1"/>
    <xf numFmtId="0" fontId="3" fillId="5" borderId="14" xfId="0" applyFont="1" applyFill="1" applyBorder="1"/>
    <xf numFmtId="3" fontId="3" fillId="5" borderId="14" xfId="0" applyNumberFormat="1" applyFont="1" applyFill="1" applyBorder="1"/>
    <xf numFmtId="0" fontId="3" fillId="5" borderId="3" xfId="0" applyFont="1" applyFill="1" applyBorder="1"/>
    <xf numFmtId="165" fontId="3" fillId="5" borderId="3" xfId="0" applyNumberFormat="1" applyFont="1" applyFill="1" applyBorder="1"/>
    <xf numFmtId="0" fontId="1" fillId="6" borderId="11" xfId="0" applyFont="1" applyFill="1" applyBorder="1"/>
    <xf numFmtId="166" fontId="1" fillId="6" borderId="11" xfId="0" applyNumberFormat="1" applyFont="1" applyFill="1" applyBorder="1"/>
    <xf numFmtId="0" fontId="1" fillId="5" borderId="0" xfId="0" applyFont="1" applyFill="1" applyAlignment="1">
      <alignment horizontal="left" indent="1"/>
    </xf>
    <xf numFmtId="3" fontId="1" fillId="0" borderId="11" xfId="0" applyNumberFormat="1" applyFont="1" applyBorder="1"/>
    <xf numFmtId="169" fontId="3" fillId="5" borderId="13" xfId="0" applyNumberFormat="1" applyFont="1" applyFill="1" applyBorder="1"/>
    <xf numFmtId="0" fontId="1" fillId="10" borderId="0" xfId="0" applyFont="1" applyFill="1"/>
    <xf numFmtId="166" fontId="1" fillId="10" borderId="0" xfId="0" applyNumberFormat="1" applyFont="1" applyFill="1"/>
    <xf numFmtId="169" fontId="1" fillId="5" borderId="0" xfId="0" applyNumberFormat="1" applyFont="1" applyFill="1" applyAlignment="1">
      <alignment horizontal="right"/>
    </xf>
    <xf numFmtId="0" fontId="2" fillId="3" borderId="6" xfId="0" applyFont="1" applyFill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2" fillId="3" borderId="9" xfId="0" applyFont="1" applyFill="1" applyBorder="1" applyAlignment="1">
      <alignment horizontal="center" vertical="center" textRotation="90"/>
    </xf>
    <xf numFmtId="0" fontId="4" fillId="0" borderId="10" xfId="0" applyFont="1" applyBorder="1"/>
    <xf numFmtId="0" fontId="4" fillId="0" borderId="11" xfId="0" applyFont="1" applyBorder="1"/>
    <xf numFmtId="3" fontId="1" fillId="5" borderId="0" xfId="0" applyNumberFormat="1" applyFont="1" applyFill="1" applyAlignment="1">
      <alignment horizontal="centerContinuous"/>
    </xf>
    <xf numFmtId="0" fontId="1" fillId="5" borderId="0" xfId="0" applyFont="1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showGridLines="0" zoomScale="110" zoomScaleNormal="110" workbookViewId="0">
      <selection activeCell="C16" sqref="C16"/>
    </sheetView>
  </sheetViews>
  <sheetFormatPr defaultColWidth="14.42578125" defaultRowHeight="15" customHeight="1" x14ac:dyDescent="0.25"/>
  <cols>
    <col min="1" max="1" width="2.7109375" style="1" customWidth="1"/>
    <col min="2" max="2" width="45.42578125" style="1" customWidth="1"/>
    <col min="3" max="10" width="15.7109375" style="1" customWidth="1"/>
    <col min="11" max="26" width="8.85546875" style="1" customWidth="1"/>
    <col min="27" max="16384" width="14.42578125" style="1"/>
  </cols>
  <sheetData>
    <row r="1" spans="2:10" ht="17.100000000000001" customHeight="1" x14ac:dyDescent="0.25"/>
    <row r="2" spans="2:10" ht="17.100000000000001" customHeight="1" x14ac:dyDescent="0.25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 ht="17.100000000000001" customHeight="1" x14ac:dyDescent="0.25">
      <c r="B3" s="3" t="s">
        <v>1</v>
      </c>
      <c r="C3" s="3">
        <v>2022</v>
      </c>
      <c r="D3" s="3">
        <v>2023</v>
      </c>
      <c r="E3" s="3">
        <v>2024</v>
      </c>
      <c r="F3" s="3">
        <v>2025</v>
      </c>
      <c r="G3" s="3">
        <v>2026</v>
      </c>
      <c r="H3" s="3">
        <v>2027</v>
      </c>
      <c r="I3" s="3">
        <v>2028</v>
      </c>
      <c r="J3" s="3">
        <v>2029</v>
      </c>
    </row>
    <row r="4" spans="2:10" ht="17.100000000000001" customHeight="1" x14ac:dyDescent="0.25">
      <c r="B4" s="15" t="s">
        <v>2</v>
      </c>
      <c r="C4" s="16">
        <f>'Income Statement'!C3</f>
        <v>1339464</v>
      </c>
      <c r="D4" s="16">
        <f>'Income Statement'!D3</f>
        <v>1367719</v>
      </c>
      <c r="E4" s="16">
        <f>'Income Statement'!E3</f>
        <v>1428716</v>
      </c>
      <c r="F4" s="16">
        <f>(1+F24)*E4</f>
        <v>1475643.5126251201</v>
      </c>
      <c r="G4" s="16">
        <f>(1+G24)*F4</f>
        <v>1524112.4032716111</v>
      </c>
      <c r="H4" s="16">
        <f>(1+H24)*G4</f>
        <v>1574173.2999415095</v>
      </c>
      <c r="I4" s="16">
        <f>(1+I24)*H4</f>
        <v>1625878.4935609077</v>
      </c>
      <c r="J4" s="16">
        <f>(1+J24)*I4</f>
        <v>1679281.9926002484</v>
      </c>
    </row>
    <row r="5" spans="2:10" ht="17.100000000000001" customHeight="1" x14ac:dyDescent="0.25">
      <c r="B5" s="17" t="s">
        <v>3</v>
      </c>
      <c r="C5" s="18">
        <f>'Income Statement'!C4</f>
        <v>-945966</v>
      </c>
      <c r="D5" s="18">
        <f>'Income Statement'!D4</f>
        <v>-957187</v>
      </c>
      <c r="E5" s="18">
        <f>'Income Statement'!E4</f>
        <v>-993243</v>
      </c>
      <c r="F5" s="18">
        <f>-(F25*F4)</f>
        <v>-1033574.590275015</v>
      </c>
      <c r="G5" s="18">
        <f>-(G25*G4)</f>
        <v>-1067523.3139080771</v>
      </c>
      <c r="H5" s="18">
        <f>-(H25*H4)</f>
        <v>-1102587.1151051179</v>
      </c>
      <c r="I5" s="18">
        <f>-(I25*I4)</f>
        <v>-1138802.619631133</v>
      </c>
      <c r="J5" s="18">
        <f>-(J25*J4)</f>
        <v>-1176207.6562586082</v>
      </c>
    </row>
    <row r="6" spans="2:10" ht="17.100000000000001" customHeight="1" x14ac:dyDescent="0.25">
      <c r="B6" s="19" t="s">
        <v>4</v>
      </c>
      <c r="C6" s="20">
        <f>C4+C5</f>
        <v>393498</v>
      </c>
      <c r="D6" s="20">
        <f t="shared" ref="D6:E6" si="0">D4+D5</f>
        <v>410532</v>
      </c>
      <c r="E6" s="20">
        <f t="shared" si="0"/>
        <v>435473</v>
      </c>
      <c r="F6" s="20">
        <f t="shared" ref="F6" si="1">F4+F5</f>
        <v>442068.92235010513</v>
      </c>
      <c r="G6" s="20">
        <f t="shared" ref="G6" si="2">G4+G5</f>
        <v>456589.089363534</v>
      </c>
      <c r="H6" s="20">
        <f t="shared" ref="H6" si="3">H4+H5</f>
        <v>471586.18483639159</v>
      </c>
      <c r="I6" s="20">
        <f t="shared" ref="I6" si="4">I4+I5</f>
        <v>487075.87392977462</v>
      </c>
      <c r="J6" s="20">
        <f t="shared" ref="J6" si="5">J4+J5</f>
        <v>503074.33634164021</v>
      </c>
    </row>
    <row r="7" spans="2:10" ht="17.100000000000001" customHeight="1" x14ac:dyDescent="0.25">
      <c r="B7" s="15" t="s">
        <v>5</v>
      </c>
      <c r="C7" s="16">
        <f>'Income Statement'!C7</f>
        <v>-248619</v>
      </c>
      <c r="D7" s="16">
        <f>'Income Statement'!D7</f>
        <v>-271035</v>
      </c>
      <c r="E7" s="16">
        <f>'Income Statement'!E7</f>
        <v>-294995</v>
      </c>
      <c r="F7" s="16">
        <f>-(F26*F4)</f>
        <v>-290333.90451074048</v>
      </c>
      <c r="G7" s="16">
        <f>-(G26*G4)</f>
        <v>-299870.19301694341</v>
      </c>
      <c r="H7" s="16">
        <f>-(H26*H4)</f>
        <v>-309719.70983393135</v>
      </c>
      <c r="I7" s="16">
        <f>-(I26*I4)</f>
        <v>-319892.74323838705</v>
      </c>
      <c r="J7" s="16">
        <f>-(J26*J4)</f>
        <v>-330399.91943505855</v>
      </c>
    </row>
    <row r="8" spans="2:10" ht="17.100000000000001" customHeight="1" x14ac:dyDescent="0.25">
      <c r="B8" s="55" t="s">
        <v>6</v>
      </c>
      <c r="C8" s="56">
        <f t="shared" ref="C8:J8" si="6">-C7</f>
        <v>248619</v>
      </c>
      <c r="D8" s="56">
        <f t="shared" si="6"/>
        <v>271035</v>
      </c>
      <c r="E8" s="56">
        <f t="shared" si="6"/>
        <v>294995</v>
      </c>
      <c r="F8" s="56">
        <f t="shared" si="6"/>
        <v>290333.90451074048</v>
      </c>
      <c r="G8" s="56">
        <f t="shared" si="6"/>
        <v>299870.19301694341</v>
      </c>
      <c r="H8" s="56">
        <f t="shared" si="6"/>
        <v>309719.70983393135</v>
      </c>
      <c r="I8" s="56">
        <f t="shared" si="6"/>
        <v>319892.74323838705</v>
      </c>
      <c r="J8" s="56">
        <f t="shared" si="6"/>
        <v>330399.91943505855</v>
      </c>
    </row>
    <row r="9" spans="2:10" ht="17.100000000000001" customHeight="1" x14ac:dyDescent="0.25">
      <c r="B9" s="19" t="s">
        <v>7</v>
      </c>
      <c r="C9" s="20">
        <f>C11+C10</f>
        <v>214738</v>
      </c>
      <c r="D9" s="20">
        <f t="shared" ref="D9:E9" si="7">D11+D10</f>
        <v>208430</v>
      </c>
      <c r="E9" s="20">
        <f t="shared" si="7"/>
        <v>218137</v>
      </c>
      <c r="F9" s="20">
        <f>F11+F10</f>
        <v>228916.19839579461</v>
      </c>
      <c r="G9" s="20">
        <f t="shared" ref="G9:J9" si="8">G11+G10</f>
        <v>236435.16492960061</v>
      </c>
      <c r="H9" s="20">
        <f t="shared" si="8"/>
        <v>244201.09894815725</v>
      </c>
      <c r="I9" s="20">
        <f t="shared" si="8"/>
        <v>252222.11232937354</v>
      </c>
      <c r="J9" s="20">
        <f t="shared" si="8"/>
        <v>260506.58339337166</v>
      </c>
    </row>
    <row r="10" spans="2:10" ht="17.100000000000001" customHeight="1" x14ac:dyDescent="0.25">
      <c r="B10" s="17" t="s">
        <v>8</v>
      </c>
      <c r="C10" s="18">
        <f>'Cash Flow Statement'!C4+'Cash Flow Statement'!C5</f>
        <v>52553</v>
      </c>
      <c r="D10" s="18">
        <f>'Cash Flow Statement'!D4+'Cash Flow Statement'!D5</f>
        <v>53016</v>
      </c>
      <c r="E10" s="18">
        <f>'Cash Flow Statement'!E4+'Cash Flow Statement'!E5</f>
        <v>58456</v>
      </c>
      <c r="F10" s="18">
        <f>F27*F4</f>
        <v>58490.45473936804</v>
      </c>
      <c r="G10" s="18">
        <f>G27*G4</f>
        <v>60411.628403854695</v>
      </c>
      <c r="H10" s="18">
        <f>H27*H4</f>
        <v>62395.904813320223</v>
      </c>
      <c r="I10" s="18">
        <f>I27*I4</f>
        <v>64445.356636413737</v>
      </c>
      <c r="J10" s="18">
        <f>J27*J4</f>
        <v>66562.124620523711</v>
      </c>
    </row>
    <row r="11" spans="2:10" ht="17.100000000000001" customHeight="1" x14ac:dyDescent="0.25">
      <c r="B11" s="19" t="s">
        <v>9</v>
      </c>
      <c r="C11" s="20">
        <f>'Income Statement'!C8</f>
        <v>162185</v>
      </c>
      <c r="D11" s="20">
        <f>'Income Statement'!D8</f>
        <v>155414</v>
      </c>
      <c r="E11" s="20">
        <f>'Income Statement'!E8</f>
        <v>159681</v>
      </c>
      <c r="F11" s="20">
        <f>F28*F4</f>
        <v>170425.74365642658</v>
      </c>
      <c r="G11" s="20">
        <f t="shared" ref="G11:J11" si="9">G28*G4</f>
        <v>176023.53652574591</v>
      </c>
      <c r="H11" s="20">
        <f t="shared" si="9"/>
        <v>181805.19413483702</v>
      </c>
      <c r="I11" s="20">
        <f t="shared" si="9"/>
        <v>187776.75569295982</v>
      </c>
      <c r="J11" s="20">
        <f t="shared" si="9"/>
        <v>193944.45877284795</v>
      </c>
    </row>
    <row r="12" spans="2:10" ht="17.100000000000001" customHeight="1" x14ac:dyDescent="0.25">
      <c r="B12" s="17" t="s">
        <v>10</v>
      </c>
      <c r="C12" s="18">
        <f>C29*C11</f>
        <v>29440</v>
      </c>
      <c r="D12" s="18">
        <f t="shared" ref="D12:F12" si="10">D29*D11</f>
        <v>29124</v>
      </c>
      <c r="E12" s="18">
        <f t="shared" si="10"/>
        <v>30429</v>
      </c>
      <c r="F12" s="18">
        <f t="shared" si="10"/>
        <v>31783.181436050465</v>
      </c>
      <c r="G12" s="18">
        <f t="shared" ref="G12" si="11">G29*G11</f>
        <v>32827.129742156605</v>
      </c>
      <c r="H12" s="18">
        <f t="shared" ref="H12:I12" si="12">H29*H11</f>
        <v>33905.367506289927</v>
      </c>
      <c r="I12" s="18">
        <f t="shared" si="12"/>
        <v>35019.020997754124</v>
      </c>
      <c r="J12" s="18">
        <f t="shared" ref="J12" si="13">J29*J11</f>
        <v>36169.253479221014</v>
      </c>
    </row>
    <row r="13" spans="2:10" ht="17.100000000000001" customHeight="1" x14ac:dyDescent="0.25">
      <c r="B13" s="19" t="s">
        <v>11</v>
      </c>
      <c r="C13" s="20">
        <f>C11-C12</f>
        <v>132745</v>
      </c>
      <c r="D13" s="20">
        <f t="shared" ref="D13:J13" si="14">D11-D12</f>
        <v>126290</v>
      </c>
      <c r="E13" s="20">
        <f t="shared" si="14"/>
        <v>129252</v>
      </c>
      <c r="F13" s="20">
        <f t="shared" si="14"/>
        <v>138642.5622203761</v>
      </c>
      <c r="G13" s="20">
        <f t="shared" si="14"/>
        <v>143196.40678358931</v>
      </c>
      <c r="H13" s="20">
        <f t="shared" si="14"/>
        <v>147899.8266285471</v>
      </c>
      <c r="I13" s="20">
        <f t="shared" si="14"/>
        <v>152757.7346952057</v>
      </c>
      <c r="J13" s="20">
        <f t="shared" si="14"/>
        <v>157775.20529362693</v>
      </c>
    </row>
    <row r="14" spans="2:10" ht="17.100000000000001" customHeight="1" x14ac:dyDescent="0.25">
      <c r="B14" s="15" t="s">
        <v>12</v>
      </c>
      <c r="C14" s="16">
        <f>C10</f>
        <v>52553</v>
      </c>
      <c r="D14" s="16">
        <f t="shared" ref="D14:J14" si="15">D10</f>
        <v>53016</v>
      </c>
      <c r="E14" s="16">
        <f t="shared" si="15"/>
        <v>58456</v>
      </c>
      <c r="F14" s="16">
        <f t="shared" si="15"/>
        <v>58490.45473936804</v>
      </c>
      <c r="G14" s="16">
        <f t="shared" si="15"/>
        <v>60411.628403854695</v>
      </c>
      <c r="H14" s="16">
        <f t="shared" si="15"/>
        <v>62395.904813320223</v>
      </c>
      <c r="I14" s="16">
        <f t="shared" si="15"/>
        <v>64445.356636413737</v>
      </c>
      <c r="J14" s="16">
        <f t="shared" si="15"/>
        <v>66562.124620523711</v>
      </c>
    </row>
    <row r="15" spans="2:10" ht="17.100000000000001" customHeight="1" x14ac:dyDescent="0.25">
      <c r="B15" s="15" t="s">
        <v>13</v>
      </c>
      <c r="C15" s="16">
        <f>'Fixed Assets'!C6</f>
        <v>8795</v>
      </c>
      <c r="D15" s="16">
        <f>'Fixed Assets'!D6</f>
        <v>10158</v>
      </c>
      <c r="E15" s="16">
        <f>'Fixed Assets'!E6</f>
        <v>18191</v>
      </c>
      <c r="F15" s="16">
        <f>'Fixed Assets'!F6</f>
        <v>12181.48</v>
      </c>
      <c r="G15" s="16">
        <f>'Fixed Assets'!G6</f>
        <v>11908.046984498766</v>
      </c>
      <c r="H15" s="16">
        <f>'Fixed Assets'!H6</f>
        <v>11648.942134145382</v>
      </c>
      <c r="I15" s="16">
        <f>'Fixed Assets'!I6</f>
        <v>11393.699291857141</v>
      </c>
      <c r="J15" s="16">
        <f>'Fixed Assets'!J6</f>
        <v>11142.594819419033</v>
      </c>
    </row>
    <row r="16" spans="2:10" ht="17.100000000000001" customHeight="1" x14ac:dyDescent="0.25">
      <c r="B16" s="15" t="s">
        <v>14</v>
      </c>
      <c r="C16" s="16">
        <v>0</v>
      </c>
      <c r="D16" s="16">
        <f>D17-C17</f>
        <v>50332</v>
      </c>
      <c r="E16" s="16">
        <f t="shared" ref="E16:J16" si="16">E17-D17</f>
        <v>-12714</v>
      </c>
      <c r="F16" s="16">
        <f t="shared" si="16"/>
        <v>4280.8843262301525</v>
      </c>
      <c r="G16" s="16">
        <f t="shared" si="16"/>
        <v>3735.9708801311208</v>
      </c>
      <c r="H16" s="16">
        <f t="shared" si="16"/>
        <v>7769.6856613294221</v>
      </c>
      <c r="I16" s="16">
        <f t="shared" si="16"/>
        <v>3985.4243647228577</v>
      </c>
      <c r="J16" s="16">
        <f t="shared" si="16"/>
        <v>8288.4732066791039</v>
      </c>
    </row>
    <row r="17" spans="2:10" ht="17.100000000000001" customHeight="1" x14ac:dyDescent="0.25">
      <c r="B17" s="21" t="s">
        <v>15</v>
      </c>
      <c r="C17" s="16">
        <f>C18-C19</f>
        <v>130417</v>
      </c>
      <c r="D17" s="16">
        <f t="shared" ref="D17:J17" si="17">D18-D19</f>
        <v>180749</v>
      </c>
      <c r="E17" s="16">
        <f t="shared" si="17"/>
        <v>168035</v>
      </c>
      <c r="F17" s="16">
        <f t="shared" si="17"/>
        <v>172315.88432623015</v>
      </c>
      <c r="G17" s="16">
        <f t="shared" si="17"/>
        <v>176051.85520636127</v>
      </c>
      <c r="H17" s="16">
        <f t="shared" si="17"/>
        <v>183821.5408676907</v>
      </c>
      <c r="I17" s="16">
        <f t="shared" si="17"/>
        <v>187806.96523241355</v>
      </c>
      <c r="J17" s="16">
        <f t="shared" si="17"/>
        <v>196095.43843909266</v>
      </c>
    </row>
    <row r="18" spans="2:10" ht="17.100000000000001" customHeight="1" x14ac:dyDescent="0.25">
      <c r="B18" s="21" t="s">
        <v>16</v>
      </c>
      <c r="C18" s="16">
        <f>'Net Working Capital'!C7</f>
        <v>396221</v>
      </c>
      <c r="D18" s="16">
        <f>'Net Working Capital'!D7</f>
        <v>444738</v>
      </c>
      <c r="E18" s="16">
        <f>'Net Working Capital'!E7</f>
        <v>472290</v>
      </c>
      <c r="F18" s="16">
        <f>'Net Working Capital'!F7</f>
        <v>468046.01204370544</v>
      </c>
      <c r="G18" s="16">
        <f>'Net Working Capital'!G7</f>
        <v>483419.42085225671</v>
      </c>
      <c r="H18" s="16">
        <f>'Net Working Capital'!H7</f>
        <v>499297.78364463284</v>
      </c>
      <c r="I18" s="16">
        <f>'Net Working Capital'!I7</f>
        <v>515697.68610647833</v>
      </c>
      <c r="J18" s="16">
        <f>'Net Working Capital'!J7</f>
        <v>532636.25869578717</v>
      </c>
    </row>
    <row r="19" spans="2:10" ht="17.100000000000001" customHeight="1" x14ac:dyDescent="0.25">
      <c r="B19" s="21" t="s">
        <v>17</v>
      </c>
      <c r="C19" s="16">
        <f>'Net Working Capital'!C13</f>
        <v>265804</v>
      </c>
      <c r="D19" s="16">
        <f>'Net Working Capital'!D13</f>
        <v>263989</v>
      </c>
      <c r="E19" s="16">
        <f>'Net Working Capital'!E13</f>
        <v>304255</v>
      </c>
      <c r="F19" s="16">
        <f>'Net Working Capital'!F13</f>
        <v>295730.12771747529</v>
      </c>
      <c r="G19" s="16">
        <f>'Net Working Capital'!G13</f>
        <v>307367.56564589543</v>
      </c>
      <c r="H19" s="16">
        <f>'Net Working Capital'!H13</f>
        <v>315476.24277694215</v>
      </c>
      <c r="I19" s="16">
        <f>'Net Working Capital'!I13</f>
        <v>327890.72087406478</v>
      </c>
      <c r="J19" s="16">
        <f>'Net Working Capital'!J13</f>
        <v>336540.82025669451</v>
      </c>
    </row>
    <row r="20" spans="2:10" ht="17.100000000000001" customHeight="1" x14ac:dyDescent="0.25">
      <c r="B20" s="6" t="s">
        <v>18</v>
      </c>
      <c r="C20" s="7">
        <f>C13+C14-C15-C16</f>
        <v>176503</v>
      </c>
      <c r="D20" s="7">
        <f t="shared" ref="D20:J20" si="18">D13+D14-D15-D16</f>
        <v>118816</v>
      </c>
      <c r="E20" s="7">
        <f t="shared" si="18"/>
        <v>182231</v>
      </c>
      <c r="F20" s="7">
        <f t="shared" si="18"/>
        <v>180670.65263351399</v>
      </c>
      <c r="G20" s="7">
        <f t="shared" si="18"/>
        <v>187964.01732281412</v>
      </c>
      <c r="H20" s="7">
        <f t="shared" si="18"/>
        <v>190877.10364639253</v>
      </c>
      <c r="I20" s="7">
        <f t="shared" si="18"/>
        <v>201823.96767503943</v>
      </c>
      <c r="J20" s="7">
        <f t="shared" si="18"/>
        <v>204906.26188805251</v>
      </c>
    </row>
    <row r="21" spans="2:10" ht="17.100000000000001" customHeight="1" x14ac:dyDescent="0.25"/>
    <row r="22" spans="2:10" ht="17.100000000000001" customHeight="1" x14ac:dyDescent="0.25">
      <c r="B22" s="2" t="s">
        <v>19</v>
      </c>
      <c r="C22" s="2"/>
      <c r="D22" s="2"/>
      <c r="E22" s="2"/>
      <c r="F22" s="2"/>
      <c r="G22" s="2"/>
      <c r="H22" s="2"/>
      <c r="I22" s="2"/>
      <c r="J22" s="2"/>
    </row>
    <row r="23" spans="2:10" ht="17.100000000000001" customHeight="1" x14ac:dyDescent="0.25">
      <c r="B23" s="3" t="str">
        <f>B3</f>
        <v>Fiscal Year</v>
      </c>
      <c r="C23" s="3" cm="1">
        <f t="array" ref="C23:J23">C3:J3</f>
        <v>2022</v>
      </c>
      <c r="D23" s="3">
        <v>2023</v>
      </c>
      <c r="E23" s="3">
        <v>2024</v>
      </c>
      <c r="F23" s="3">
        <v>2025</v>
      </c>
      <c r="G23" s="3">
        <v>2026</v>
      </c>
      <c r="H23" s="3">
        <v>2027</v>
      </c>
      <c r="I23" s="3">
        <v>2028</v>
      </c>
      <c r="J23" s="3">
        <v>2029</v>
      </c>
    </row>
    <row r="24" spans="2:10" ht="17.100000000000001" customHeight="1" x14ac:dyDescent="0.25">
      <c r="B24" s="22" t="s">
        <v>20</v>
      </c>
      <c r="C24" s="22"/>
      <c r="D24" s="23">
        <f>D4/C4-1</f>
        <v>2.1094258598961968E-2</v>
      </c>
      <c r="E24" s="23">
        <f>E4/D4-1</f>
        <v>4.4597611058996733E-2</v>
      </c>
      <c r="F24" s="23">
        <f>AVERAGE(D24:E24)</f>
        <v>3.2845934828979351E-2</v>
      </c>
      <c r="G24" s="23">
        <f t="shared" ref="G24:G29" si="19">F24</f>
        <v>3.2845934828979351E-2</v>
      </c>
      <c r="H24" s="23">
        <f t="shared" ref="H24:J24" si="20">G24</f>
        <v>3.2845934828979351E-2</v>
      </c>
      <c r="I24" s="23">
        <f t="shared" si="20"/>
        <v>3.2845934828979351E-2</v>
      </c>
      <c r="J24" s="23">
        <f t="shared" si="20"/>
        <v>3.2845934828979351E-2</v>
      </c>
    </row>
    <row r="25" spans="2:10" ht="17.100000000000001" customHeight="1" x14ac:dyDescent="0.25">
      <c r="B25" s="22" t="s">
        <v>21</v>
      </c>
      <c r="C25" s="23">
        <f>-C5/C4</f>
        <v>0.70622726702621352</v>
      </c>
      <c r="D25" s="23">
        <f>-D5/D4</f>
        <v>0.69984185348013739</v>
      </c>
      <c r="E25" s="23">
        <f>-E5/E4</f>
        <v>0.69519974578572652</v>
      </c>
      <c r="F25" s="23">
        <f>AVERAGE(C25:E25)</f>
        <v>0.70042295543069244</v>
      </c>
      <c r="G25" s="23">
        <f t="shared" si="19"/>
        <v>0.70042295543069244</v>
      </c>
      <c r="H25" s="23">
        <f t="shared" ref="H25:J25" si="21">G25</f>
        <v>0.70042295543069244</v>
      </c>
      <c r="I25" s="23">
        <f t="shared" si="21"/>
        <v>0.70042295543069244</v>
      </c>
      <c r="J25" s="23">
        <f t="shared" si="21"/>
        <v>0.70042295543069244</v>
      </c>
    </row>
    <row r="26" spans="2:10" ht="17.100000000000001" customHeight="1" x14ac:dyDescent="0.25">
      <c r="B26" s="22" t="s">
        <v>22</v>
      </c>
      <c r="C26" s="23">
        <f>-C7/C4</f>
        <v>0.18561081148877462</v>
      </c>
      <c r="D26" s="23">
        <f>-D7/D4</f>
        <v>0.19816570509000753</v>
      </c>
      <c r="E26" s="23">
        <f>-E7/E4</f>
        <v>0.20647560466880752</v>
      </c>
      <c r="F26" s="23">
        <f>AVERAGE(C26:E26)</f>
        <v>0.19675070708252987</v>
      </c>
      <c r="G26" s="23">
        <f t="shared" si="19"/>
        <v>0.19675070708252987</v>
      </c>
      <c r="H26" s="23">
        <f t="shared" ref="H26:J26" si="22">G26</f>
        <v>0.19675070708252987</v>
      </c>
      <c r="I26" s="23">
        <f t="shared" si="22"/>
        <v>0.19675070708252987</v>
      </c>
      <c r="J26" s="23">
        <f t="shared" si="22"/>
        <v>0.19675070708252987</v>
      </c>
    </row>
    <row r="27" spans="2:10" ht="16.5" customHeight="1" x14ac:dyDescent="0.25">
      <c r="B27" s="57" t="s">
        <v>129</v>
      </c>
      <c r="C27" s="58">
        <f>C10/C4</f>
        <v>3.923435045660055E-2</v>
      </c>
      <c r="D27" s="58">
        <f>D10/D4</f>
        <v>3.8762348113903514E-2</v>
      </c>
      <c r="E27" s="58">
        <f>E10/E4</f>
        <v>4.0915059395989127E-2</v>
      </c>
      <c r="F27" s="58">
        <f>AVERAGE(C27:E27)</f>
        <v>3.963725265549773E-2</v>
      </c>
      <c r="G27" s="58">
        <f t="shared" si="19"/>
        <v>3.963725265549773E-2</v>
      </c>
      <c r="H27" s="58">
        <f t="shared" ref="H27:J29" si="23">G27</f>
        <v>3.963725265549773E-2</v>
      </c>
      <c r="I27" s="58">
        <f t="shared" si="23"/>
        <v>3.963725265549773E-2</v>
      </c>
      <c r="J27" s="58">
        <f t="shared" si="23"/>
        <v>3.963725265549773E-2</v>
      </c>
    </row>
    <row r="28" spans="2:10" ht="16.5" customHeight="1" x14ac:dyDescent="0.25">
      <c r="B28" s="57" t="s">
        <v>130</v>
      </c>
      <c r="C28" s="58">
        <f>C11/C4</f>
        <v>0.12108201489551045</v>
      </c>
      <c r="D28" s="58">
        <f t="shared" ref="D28:E28" si="24">D11/D4</f>
        <v>0.11363006582492456</v>
      </c>
      <c r="E28" s="58">
        <f t="shared" si="24"/>
        <v>0.11176538934259853</v>
      </c>
      <c r="F28" s="58">
        <f>AVERAGE(C28:E28)</f>
        <v>0.11549249002101118</v>
      </c>
      <c r="G28" s="58">
        <f t="shared" si="19"/>
        <v>0.11549249002101118</v>
      </c>
      <c r="H28" s="58">
        <f t="shared" si="23"/>
        <v>0.11549249002101118</v>
      </c>
      <c r="I28" s="58">
        <f t="shared" si="23"/>
        <v>0.11549249002101118</v>
      </c>
      <c r="J28" s="58">
        <f t="shared" si="23"/>
        <v>0.11549249002101118</v>
      </c>
    </row>
    <row r="29" spans="2:10" ht="17.100000000000001" customHeight="1" x14ac:dyDescent="0.25">
      <c r="B29" s="22" t="s">
        <v>23</v>
      </c>
      <c r="C29" s="23">
        <f>-'Income Statement'!C13/'Income Statement'!C8</f>
        <v>0.18152110244473904</v>
      </c>
      <c r="D29" s="23">
        <f>-'Income Statement'!D13/'Income Statement'!D8</f>
        <v>0.18739624486854467</v>
      </c>
      <c r="E29" s="23">
        <f>-'Income Statement'!E13/'Income Statement'!E8</f>
        <v>0.19056118135532718</v>
      </c>
      <c r="F29" s="23">
        <f>AVERAGE(C29:E29)</f>
        <v>0.18649284288953696</v>
      </c>
      <c r="G29" s="23">
        <f t="shared" si="19"/>
        <v>0.18649284288953696</v>
      </c>
      <c r="H29" s="23">
        <f t="shared" si="23"/>
        <v>0.18649284288953696</v>
      </c>
      <c r="I29" s="23">
        <f t="shared" si="23"/>
        <v>0.18649284288953696</v>
      </c>
      <c r="J29" s="23">
        <f t="shared" si="23"/>
        <v>0.18649284288953696</v>
      </c>
    </row>
    <row r="30" spans="2:10" ht="17.100000000000001" customHeight="1" x14ac:dyDescent="0.25"/>
    <row r="31" spans="2:10" ht="17.100000000000001" customHeight="1" x14ac:dyDescent="0.25"/>
    <row r="32" spans="2:10" ht="17.100000000000001" customHeight="1" x14ac:dyDescent="0.25"/>
    <row r="33" ht="17.100000000000001" customHeight="1" x14ac:dyDescent="0.25"/>
    <row r="34" ht="17.100000000000001" customHeight="1" x14ac:dyDescent="0.25"/>
    <row r="35" ht="17.100000000000001" customHeight="1" x14ac:dyDescent="0.25"/>
    <row r="36" ht="17.100000000000001" customHeight="1" x14ac:dyDescent="0.25"/>
    <row r="37" ht="17.100000000000001" customHeight="1" x14ac:dyDescent="0.25"/>
    <row r="38" ht="17.100000000000001" customHeight="1" x14ac:dyDescent="0.25"/>
    <row r="39" ht="17.100000000000001" customHeight="1" x14ac:dyDescent="0.25"/>
    <row r="40" ht="17.100000000000001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2"/>
  <sheetViews>
    <sheetView showGridLines="0" workbookViewId="0">
      <selection activeCell="F23" sqref="F23"/>
    </sheetView>
  </sheetViews>
  <sheetFormatPr defaultColWidth="14.42578125" defaultRowHeight="15" customHeight="1" x14ac:dyDescent="0.25"/>
  <cols>
    <col min="1" max="1" width="2.7109375" style="1" customWidth="1"/>
    <col min="2" max="2" width="35.7109375" style="1" customWidth="1"/>
    <col min="3" max="10" width="15.7109375" style="1" customWidth="1"/>
    <col min="11" max="26" width="8.85546875" style="1" customWidth="1"/>
    <col min="27" max="16384" width="14.42578125" style="1"/>
  </cols>
  <sheetData>
    <row r="1" spans="2:10" ht="17.100000000000001" customHeight="1" x14ac:dyDescent="0.25"/>
    <row r="2" spans="2:10" ht="17.100000000000001" customHeight="1" x14ac:dyDescent="0.25">
      <c r="B2" s="2" t="s">
        <v>24</v>
      </c>
      <c r="C2" s="2"/>
      <c r="D2" s="2"/>
      <c r="E2" s="2"/>
      <c r="F2" s="2"/>
      <c r="G2" s="2"/>
      <c r="H2" s="2"/>
      <c r="I2" s="2"/>
      <c r="J2" s="2"/>
    </row>
    <row r="3" spans="2:10" ht="17.100000000000001" customHeight="1" x14ac:dyDescent="0.25">
      <c r="B3" s="3" t="s">
        <v>1</v>
      </c>
      <c r="C3" s="3">
        <v>2022</v>
      </c>
      <c r="D3" s="3">
        <v>2023</v>
      </c>
      <c r="E3" s="3">
        <v>2024</v>
      </c>
      <c r="F3" s="3">
        <v>2025</v>
      </c>
      <c r="G3" s="3">
        <v>2026</v>
      </c>
      <c r="H3" s="3">
        <v>2027</v>
      </c>
      <c r="I3" s="3">
        <v>2028</v>
      </c>
      <c r="J3" s="3">
        <v>2029</v>
      </c>
    </row>
    <row r="4" spans="2:10" ht="17.100000000000001" customHeight="1" x14ac:dyDescent="0.25">
      <c r="B4" s="15" t="s">
        <v>122</v>
      </c>
      <c r="C4" s="24">
        <v>302883</v>
      </c>
      <c r="D4" s="24">
        <f>C9</f>
        <v>291608</v>
      </c>
      <c r="E4" s="24">
        <f>D9</f>
        <v>283658</v>
      </c>
      <c r="F4" s="24">
        <f>E9</f>
        <v>304537</v>
      </c>
      <c r="G4" s="24">
        <f t="shared" ref="G4:J4" si="0">F9</f>
        <v>297701.17461246916</v>
      </c>
      <c r="H4" s="24">
        <f t="shared" si="0"/>
        <v>291223.55335363455</v>
      </c>
      <c r="I4" s="24">
        <f t="shared" si="0"/>
        <v>284842.48229642853</v>
      </c>
      <c r="J4" s="24">
        <f t="shared" si="0"/>
        <v>278564.87048547581</v>
      </c>
    </row>
    <row r="5" spans="2:10" ht="17.100000000000001" customHeight="1" x14ac:dyDescent="0.25">
      <c r="B5" s="15" t="s">
        <v>121</v>
      </c>
      <c r="C5" s="24">
        <f>'Cash Flow Statement'!C4</f>
        <v>19539</v>
      </c>
      <c r="D5" s="24">
        <f>'Cash Flow Statement'!D4</f>
        <v>17876</v>
      </c>
      <c r="E5" s="24">
        <f>'Cash Flow Statement'!E4</f>
        <v>17453</v>
      </c>
      <c r="F5" s="24">
        <f>F13*F4</f>
        <v>19017.305387530821</v>
      </c>
      <c r="G5" s="24">
        <f t="shared" ref="G5:J5" si="1">G13*G4</f>
        <v>18385.668243333363</v>
      </c>
      <c r="H5" s="24">
        <f t="shared" si="1"/>
        <v>18030.013191351358</v>
      </c>
      <c r="I5" s="24">
        <f t="shared" si="1"/>
        <v>17671.311102809868</v>
      </c>
      <c r="J5" s="24">
        <f t="shared" si="1"/>
        <v>17243.995467042198</v>
      </c>
    </row>
    <row r="6" spans="2:10" ht="17.100000000000001" customHeight="1" x14ac:dyDescent="0.25">
      <c r="B6" s="15" t="s">
        <v>128</v>
      </c>
      <c r="C6" s="16">
        <f>-'Cash Flow Statement'!C20</f>
        <v>8795</v>
      </c>
      <c r="D6" s="16">
        <f>-'Cash Flow Statement'!D20</f>
        <v>10158</v>
      </c>
      <c r="E6" s="16">
        <f>-'Cash Flow Statement'!E20</f>
        <v>18191</v>
      </c>
      <c r="F6" s="24">
        <f>F14*F4</f>
        <v>12181.48</v>
      </c>
      <c r="G6" s="24">
        <f t="shared" ref="G6:J6" si="2">G14*G4</f>
        <v>11908.046984498766</v>
      </c>
      <c r="H6" s="24">
        <f t="shared" si="2"/>
        <v>11648.942134145382</v>
      </c>
      <c r="I6" s="24">
        <f t="shared" si="2"/>
        <v>11393.699291857141</v>
      </c>
      <c r="J6" s="24">
        <f t="shared" si="2"/>
        <v>11142.594819419033</v>
      </c>
    </row>
    <row r="7" spans="2:10" ht="17.100000000000001" customHeight="1" x14ac:dyDescent="0.25">
      <c r="B7" s="15" t="s">
        <v>126</v>
      </c>
      <c r="C7" s="16">
        <f>'Cash Flow Statement'!C19+'Cash Flow Statement'!C6</f>
        <v>129</v>
      </c>
      <c r="D7" s="16">
        <f>'Cash Flow Statement'!D19+'Cash Flow Statement'!D6</f>
        <v>94</v>
      </c>
      <c r="E7" s="16">
        <f>'Cash Flow Statement'!E19+'Cash Flow Statement'!E6</f>
        <v>108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</row>
    <row r="8" spans="2:10" ht="17.100000000000001" customHeight="1" x14ac:dyDescent="0.25">
      <c r="B8" s="15" t="s">
        <v>125</v>
      </c>
      <c r="C8" s="16">
        <v>402</v>
      </c>
      <c r="D8" s="16">
        <v>138</v>
      </c>
      <c r="E8" s="16">
        <v>20249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</row>
    <row r="9" spans="2:10" ht="17.100000000000001" customHeight="1" x14ac:dyDescent="0.25">
      <c r="B9" s="25" t="s">
        <v>25</v>
      </c>
      <c r="C9" s="26">
        <f>C4-C5+C6-C7-C8</f>
        <v>291608</v>
      </c>
      <c r="D9" s="26">
        <f>D4-D5+D6-D7-D8</f>
        <v>283658</v>
      </c>
      <c r="E9" s="26">
        <f>E4-E5+E6-E7+E8</f>
        <v>304537</v>
      </c>
      <c r="F9" s="26">
        <f>F4+F6-F5</f>
        <v>297701.17461246916</v>
      </c>
      <c r="G9" s="26">
        <f t="shared" ref="G9:J9" si="3">G4+G6-G5</f>
        <v>291223.55335363455</v>
      </c>
      <c r="H9" s="26">
        <f t="shared" si="3"/>
        <v>284842.48229642853</v>
      </c>
      <c r="I9" s="26">
        <f t="shared" si="3"/>
        <v>278564.87048547581</v>
      </c>
      <c r="J9" s="26">
        <f t="shared" si="3"/>
        <v>272463.46983785264</v>
      </c>
    </row>
    <row r="10" spans="2:10" ht="17.100000000000001" customHeight="1" x14ac:dyDescent="0.25">
      <c r="E10" s="8"/>
    </row>
    <row r="11" spans="2:10" ht="17.100000000000001" customHeight="1" x14ac:dyDescent="0.25">
      <c r="B11" s="2" t="s">
        <v>19</v>
      </c>
      <c r="C11" s="2"/>
      <c r="D11" s="2"/>
      <c r="E11" s="2"/>
      <c r="F11" s="2"/>
      <c r="G11" s="2"/>
      <c r="H11" s="2"/>
      <c r="I11" s="2"/>
      <c r="J11" s="2"/>
    </row>
    <row r="12" spans="2:10" ht="17.100000000000001" customHeight="1" x14ac:dyDescent="0.25">
      <c r="B12" s="3" t="s">
        <v>1</v>
      </c>
      <c r="C12" s="3">
        <v>2022</v>
      </c>
      <c r="D12" s="3">
        <v>2023</v>
      </c>
      <c r="E12" s="3">
        <v>2024</v>
      </c>
      <c r="F12" s="3">
        <v>2025</v>
      </c>
      <c r="G12" s="3">
        <v>2026</v>
      </c>
      <c r="H12" s="3">
        <v>2027</v>
      </c>
      <c r="I12" s="3">
        <v>2028</v>
      </c>
      <c r="J12" s="3">
        <v>2029</v>
      </c>
    </row>
    <row r="13" spans="2:10" ht="17.100000000000001" customHeight="1" x14ac:dyDescent="0.25">
      <c r="B13" s="22" t="s">
        <v>123</v>
      </c>
      <c r="C13" s="23">
        <f>C5/C4</f>
        <v>6.4510058339358758E-2</v>
      </c>
      <c r="D13" s="23">
        <f t="shared" ref="D13:E13" si="4">D5/D4</f>
        <v>6.1301473210611503E-2</v>
      </c>
      <c r="E13" s="23">
        <f t="shared" si="4"/>
        <v>6.1528319314103602E-2</v>
      </c>
      <c r="F13" s="23">
        <f>AVERAGE(C13:E13)</f>
        <v>6.2446616954691288E-2</v>
      </c>
      <c r="G13" s="23">
        <f t="shared" ref="G13:J13" si="5">AVERAGE(D13:F13)</f>
        <v>6.1758803159802124E-2</v>
      </c>
      <c r="H13" s="23">
        <f t="shared" si="5"/>
        <v>6.1911246476199E-2</v>
      </c>
      <c r="I13" s="23">
        <f t="shared" si="5"/>
        <v>6.2038888863564144E-2</v>
      </c>
      <c r="J13" s="23">
        <f t="shared" si="5"/>
        <v>6.1902979499855092E-2</v>
      </c>
    </row>
    <row r="14" spans="2:10" ht="17.100000000000001" customHeight="1" x14ac:dyDescent="0.25">
      <c r="B14" s="22" t="s">
        <v>124</v>
      </c>
      <c r="C14" s="23">
        <f>C6/C4</f>
        <v>2.9037615184741301E-2</v>
      </c>
      <c r="D14" s="23">
        <f t="shared" ref="D14:E14" si="6">D6/D4</f>
        <v>3.4834435269265593E-2</v>
      </c>
      <c r="E14" s="23">
        <f t="shared" si="6"/>
        <v>6.4130043926136401E-2</v>
      </c>
      <c r="F14" s="23">
        <v>0.04</v>
      </c>
      <c r="G14" s="23">
        <v>0.04</v>
      </c>
      <c r="H14" s="23">
        <v>0.04</v>
      </c>
      <c r="I14" s="23">
        <v>0.04</v>
      </c>
      <c r="J14" s="23">
        <v>0.04</v>
      </c>
    </row>
    <row r="15" spans="2:10" ht="17.100000000000001" customHeight="1" x14ac:dyDescent="0.25">
      <c r="C15" s="9"/>
      <c r="D15" s="9"/>
      <c r="E15" s="9"/>
      <c r="F15" s="9"/>
      <c r="G15" s="9"/>
      <c r="H15" s="9"/>
      <c r="I15" s="9"/>
      <c r="J15" s="9"/>
    </row>
    <row r="16" spans="2:10" ht="17.100000000000001" customHeight="1" x14ac:dyDescent="0.25">
      <c r="C16" s="9"/>
      <c r="D16" s="9"/>
      <c r="E16" s="9"/>
      <c r="F16" s="9"/>
      <c r="G16" s="9"/>
      <c r="H16" s="9"/>
      <c r="I16" s="9"/>
      <c r="J16" s="9"/>
    </row>
    <row r="17" spans="3:10" ht="17.100000000000001" customHeight="1" x14ac:dyDescent="0.25">
      <c r="C17" s="9"/>
      <c r="D17" s="9"/>
      <c r="E17" s="9"/>
      <c r="F17" s="9"/>
      <c r="G17" s="9"/>
      <c r="H17" s="9"/>
      <c r="I17" s="9"/>
      <c r="J17" s="9"/>
    </row>
    <row r="18" spans="3:10" ht="17.100000000000001" customHeight="1" x14ac:dyDescent="0.25"/>
    <row r="19" spans="3:10" ht="17.100000000000001" customHeight="1" x14ac:dyDescent="0.25"/>
    <row r="20" spans="3:10" ht="17.100000000000001" customHeight="1" x14ac:dyDescent="0.25"/>
    <row r="21" spans="3:10" ht="17.100000000000001" customHeight="1" x14ac:dyDescent="0.25"/>
    <row r="22" spans="3:10" ht="17.100000000000001" customHeight="1" x14ac:dyDescent="0.25"/>
    <row r="23" spans="3:10" ht="17.100000000000001" customHeight="1" x14ac:dyDescent="0.25"/>
    <row r="24" spans="3:10" ht="17.100000000000001" customHeight="1" x14ac:dyDescent="0.25"/>
    <row r="25" spans="3:10" ht="17.100000000000001" customHeight="1" x14ac:dyDescent="0.25"/>
    <row r="26" spans="3:10" ht="17.100000000000001" customHeight="1" x14ac:dyDescent="0.25"/>
    <row r="27" spans="3:10" ht="17.100000000000001" customHeight="1" x14ac:dyDescent="0.25"/>
    <row r="28" spans="3:10" ht="17.100000000000001" customHeight="1" x14ac:dyDescent="0.25"/>
    <row r="29" spans="3:10" ht="17.100000000000001" customHeight="1" x14ac:dyDescent="0.25"/>
    <row r="30" spans="3:10" ht="17.100000000000001" customHeight="1" x14ac:dyDescent="0.25"/>
    <row r="31" spans="3:10" ht="17.100000000000001" customHeight="1" x14ac:dyDescent="0.25"/>
    <row r="32" spans="3:10" ht="17.100000000000001" customHeight="1" x14ac:dyDescent="0.25"/>
    <row r="33" ht="17.100000000000001" customHeight="1" x14ac:dyDescent="0.25"/>
    <row r="34" ht="17.100000000000001" customHeight="1" x14ac:dyDescent="0.25"/>
    <row r="35" ht="17.100000000000001" customHeight="1" x14ac:dyDescent="0.25"/>
    <row r="36" ht="17.100000000000001" customHeight="1" x14ac:dyDescent="0.25"/>
    <row r="37" ht="17.100000000000001" customHeight="1" x14ac:dyDescent="0.25"/>
    <row r="38" ht="17.100000000000001" customHeight="1" x14ac:dyDescent="0.25"/>
    <row r="39" ht="17.100000000000001" customHeight="1" x14ac:dyDescent="0.25"/>
    <row r="40" ht="17.100000000000001" customHeight="1" x14ac:dyDescent="0.25"/>
    <row r="41" ht="17.100000000000001" customHeight="1" x14ac:dyDescent="0.25"/>
    <row r="42" ht="17.100000000000001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98"/>
  <sheetViews>
    <sheetView showGridLines="0" workbookViewId="0">
      <selection activeCell="S13" sqref="S13"/>
    </sheetView>
  </sheetViews>
  <sheetFormatPr defaultColWidth="14.42578125" defaultRowHeight="15" customHeight="1" x14ac:dyDescent="0.25"/>
  <cols>
    <col min="1" max="1" width="2.7109375" style="1" customWidth="1"/>
    <col min="2" max="2" width="55.7109375" style="1" customWidth="1"/>
    <col min="3" max="10" width="15.7109375" style="1" customWidth="1"/>
    <col min="11" max="25" width="8.85546875" style="1" customWidth="1"/>
    <col min="26" max="16384" width="14.42578125" style="1"/>
  </cols>
  <sheetData>
    <row r="1" spans="2:10" ht="17.100000000000001" customHeight="1" x14ac:dyDescent="0.25"/>
    <row r="2" spans="2:10" ht="17.100000000000001" customHeight="1" x14ac:dyDescent="0.25">
      <c r="B2" s="2" t="s">
        <v>26</v>
      </c>
      <c r="C2" s="2"/>
      <c r="D2" s="2"/>
      <c r="E2" s="2"/>
      <c r="F2" s="2"/>
      <c r="G2" s="2"/>
      <c r="H2" s="2"/>
      <c r="I2" s="2"/>
      <c r="J2" s="2"/>
    </row>
    <row r="3" spans="2:10" ht="17.100000000000001" customHeight="1" x14ac:dyDescent="0.25">
      <c r="B3" s="3" t="s">
        <v>1</v>
      </c>
      <c r="C3" s="3">
        <v>2022</v>
      </c>
      <c r="D3" s="3">
        <v>2023</v>
      </c>
      <c r="E3" s="3">
        <v>2024</v>
      </c>
      <c r="F3" s="3">
        <v>2025</v>
      </c>
      <c r="G3" s="3">
        <v>2026</v>
      </c>
      <c r="H3" s="3">
        <v>2027</v>
      </c>
      <c r="I3" s="3">
        <v>2028</v>
      </c>
      <c r="J3" s="3">
        <v>2029</v>
      </c>
    </row>
    <row r="4" spans="2:10" ht="17.100000000000001" customHeight="1" x14ac:dyDescent="0.25">
      <c r="B4" s="15" t="s">
        <v>27</v>
      </c>
      <c r="C4" s="24">
        <f>'Balance Sheet'!C8</f>
        <v>19540</v>
      </c>
      <c r="D4" s="24">
        <f>'Balance Sheet'!D8</f>
        <v>28535</v>
      </c>
      <c r="E4" s="24">
        <f>'Balance Sheet'!E8</f>
        <v>20501</v>
      </c>
      <c r="F4" s="24">
        <f>F20*F17/365</f>
        <v>24495.867357307703</v>
      </c>
      <c r="G4" s="24">
        <f t="shared" ref="G4:J4" si="0">G20*G17/365</f>
        <v>25300.457020105157</v>
      </c>
      <c r="H4" s="24">
        <f t="shared" si="0"/>
        <v>26131.474182530925</v>
      </c>
      <c r="I4" s="24">
        <f t="shared" si="0"/>
        <v>26989.78688051549</v>
      </c>
      <c r="J4" s="24">
        <f t="shared" si="0"/>
        <v>27876.291661440948</v>
      </c>
    </row>
    <row r="5" spans="2:10" ht="17.100000000000001" customHeight="1" x14ac:dyDescent="0.25">
      <c r="B5" s="15" t="s">
        <v>131</v>
      </c>
      <c r="C5" s="24">
        <f>'Balance Sheet'!C7</f>
        <v>101182</v>
      </c>
      <c r="D5" s="24">
        <f>'Balance Sheet'!D7</f>
        <v>91802</v>
      </c>
      <c r="E5" s="24">
        <f>'Balance Sheet'!E7</f>
        <v>98426</v>
      </c>
      <c r="F5" s="24">
        <f>F21*F17/365</f>
        <v>104057.91001259236</v>
      </c>
      <c r="G5" s="24">
        <f t="shared" ref="G5:J5" si="1">G21*G17/365</f>
        <v>107475.78934330578</v>
      </c>
      <c r="H5" s="24">
        <f t="shared" si="1"/>
        <v>111005.9321157691</v>
      </c>
      <c r="I5" s="24">
        <f t="shared" si="1"/>
        <v>114652.02572767377</v>
      </c>
      <c r="J5" s="24">
        <f t="shared" si="1"/>
        <v>118417.87869273541</v>
      </c>
    </row>
    <row r="6" spans="2:10" ht="17.100000000000001" customHeight="1" x14ac:dyDescent="0.25">
      <c r="B6" s="15" t="s">
        <v>77</v>
      </c>
      <c r="C6" s="24">
        <f>'Balance Sheet'!C9</f>
        <v>275499</v>
      </c>
      <c r="D6" s="24">
        <f>'Balance Sheet'!D9</f>
        <v>324401</v>
      </c>
      <c r="E6" s="24">
        <f>'Balance Sheet'!E9</f>
        <v>353363</v>
      </c>
      <c r="F6" s="24">
        <f>F24*F17</f>
        <v>339492.23467380536</v>
      </c>
      <c r="G6" s="24">
        <f t="shared" ref="G6:J6" si="2">G24*G17</f>
        <v>350643.17448884575</v>
      </c>
      <c r="H6" s="24">
        <f t="shared" si="2"/>
        <v>362160.37734633283</v>
      </c>
      <c r="I6" s="24">
        <f t="shared" si="2"/>
        <v>374055.87349828903</v>
      </c>
      <c r="J6" s="24">
        <f t="shared" si="2"/>
        <v>386342.0883416108</v>
      </c>
    </row>
    <row r="7" spans="2:10" ht="17.100000000000001" customHeight="1" x14ac:dyDescent="0.25">
      <c r="B7" s="25" t="s">
        <v>16</v>
      </c>
      <c r="C7" s="26">
        <f>SUM(C4:C6)</f>
        <v>396221</v>
      </c>
      <c r="D7" s="26">
        <f t="shared" ref="D7:E7" si="3">SUM(D4:D6)</f>
        <v>444738</v>
      </c>
      <c r="E7" s="26">
        <f t="shared" si="3"/>
        <v>472290</v>
      </c>
      <c r="F7" s="26">
        <f t="shared" ref="F7" si="4">SUM(F4:F6)</f>
        <v>468046.01204370544</v>
      </c>
      <c r="G7" s="26">
        <f t="shared" ref="G7" si="5">SUM(G4:G6)</f>
        <v>483419.42085225671</v>
      </c>
      <c r="H7" s="26">
        <f t="shared" ref="H7" si="6">SUM(H4:H6)</f>
        <v>499297.78364463284</v>
      </c>
      <c r="I7" s="26">
        <f t="shared" ref="I7" si="7">SUM(I4:I6)</f>
        <v>515697.68610647833</v>
      </c>
      <c r="J7" s="26">
        <f t="shared" ref="J7" si="8">SUM(J4:J6)</f>
        <v>532636.25869578717</v>
      </c>
    </row>
    <row r="8" spans="2:10" ht="17.100000000000001" customHeight="1" x14ac:dyDescent="0.25">
      <c r="B8" s="15"/>
      <c r="C8" s="15"/>
      <c r="D8" s="15"/>
      <c r="E8" s="15"/>
      <c r="F8" s="15"/>
      <c r="G8" s="15"/>
      <c r="H8" s="15"/>
      <c r="I8" s="15"/>
      <c r="J8" s="15"/>
    </row>
    <row r="9" spans="2:10" ht="17.100000000000001" customHeight="1" x14ac:dyDescent="0.25">
      <c r="B9" s="15" t="s">
        <v>28</v>
      </c>
      <c r="C9" s="24">
        <f>'Balance Sheet'!C17</f>
        <v>197455</v>
      </c>
      <c r="D9" s="24">
        <f>'Balance Sheet'!D17</f>
        <v>199943</v>
      </c>
      <c r="E9" s="24">
        <f>'Balance Sheet'!E17</f>
        <v>230241</v>
      </c>
      <c r="F9" s="24">
        <f>F22*F18/365</f>
        <v>223743.77525598978</v>
      </c>
      <c r="G9" s="24">
        <f t="shared" ref="G9:J9" si="9">G22*G18/365</f>
        <v>231092.84871643782</v>
      </c>
      <c r="H9" s="24">
        <f t="shared" si="9"/>
        <v>238683.30936482112</v>
      </c>
      <c r="I9" s="24">
        <f t="shared" si="9"/>
        <v>246523.08578898315</v>
      </c>
      <c r="J9" s="24">
        <f t="shared" si="9"/>
        <v>254620.36699864702</v>
      </c>
    </row>
    <row r="10" spans="2:10" ht="17.100000000000001" customHeight="1" x14ac:dyDescent="0.25">
      <c r="B10" s="15" t="s">
        <v>89</v>
      </c>
      <c r="C10" s="24">
        <f>'Balance Sheet'!C18</f>
        <v>35297</v>
      </c>
      <c r="D10" s="24">
        <f>'Balance Sheet'!D18</f>
        <v>29638</v>
      </c>
      <c r="E10" s="24">
        <f>'Balance Sheet'!E18</f>
        <v>32655</v>
      </c>
      <c r="F10" s="24">
        <f>F25*F17</f>
        <v>34863.272367983001</v>
      </c>
      <c r="G10" s="24">
        <f t="shared" ref="G10:J10" si="10">G25*G17</f>
        <v>36008.38914010673</v>
      </c>
      <c r="H10" s="24">
        <f t="shared" si="10"/>
        <v>37191.118343099202</v>
      </c>
      <c r="I10" s="24">
        <f t="shared" si="10"/>
        <v>38412.695392413501</v>
      </c>
      <c r="J10" s="24">
        <f t="shared" si="10"/>
        <v>39674.396281878151</v>
      </c>
    </row>
    <row r="11" spans="2:10" ht="17.100000000000001" customHeight="1" x14ac:dyDescent="0.25">
      <c r="B11" s="15" t="s">
        <v>116</v>
      </c>
      <c r="C11" s="24" t="str">
        <f>'Balance Sheet'!C19</f>
        <v>-</v>
      </c>
      <c r="D11" s="24" t="str">
        <f>'Balance Sheet'!D19</f>
        <v>-</v>
      </c>
      <c r="E11" s="24">
        <f>'Balance Sheet'!E19</f>
        <v>3613</v>
      </c>
      <c r="F11" s="24">
        <f>'Balance Sheet'!F19</f>
        <v>0</v>
      </c>
      <c r="G11" s="24">
        <f>'Balance Sheet'!G19</f>
        <v>0</v>
      </c>
      <c r="H11" s="24">
        <f>'Balance Sheet'!H19</f>
        <v>0</v>
      </c>
      <c r="I11" s="24">
        <f>'Balance Sheet'!I19</f>
        <v>0</v>
      </c>
      <c r="J11" s="24">
        <f>'Balance Sheet'!J19</f>
        <v>0</v>
      </c>
    </row>
    <row r="12" spans="2:10" ht="17.100000000000001" customHeight="1" x14ac:dyDescent="0.25">
      <c r="B12" s="15" t="s">
        <v>86</v>
      </c>
      <c r="C12" s="24">
        <f>'Balance Sheet'!C20</f>
        <v>33052</v>
      </c>
      <c r="D12" s="24">
        <f>'Balance Sheet'!D20</f>
        <v>34408</v>
      </c>
      <c r="E12" s="24">
        <f>'Balance Sheet'!E20</f>
        <v>37746</v>
      </c>
      <c r="F12" s="24">
        <f>F27*F17</f>
        <v>37123.080093502489</v>
      </c>
      <c r="G12" s="24">
        <f t="shared" ref="G12:J12" si="11">G27*G17</f>
        <v>40266.327789350878</v>
      </c>
      <c r="H12" s="24">
        <f t="shared" si="11"/>
        <v>39601.815069021824</v>
      </c>
      <c r="I12" s="24">
        <f t="shared" si="11"/>
        <v>42954.939692668115</v>
      </c>
      <c r="J12" s="24">
        <f t="shared" si="11"/>
        <v>42246.05697616934</v>
      </c>
    </row>
    <row r="13" spans="2:10" ht="17.100000000000001" customHeight="1" x14ac:dyDescent="0.25">
      <c r="B13" s="25" t="s">
        <v>29</v>
      </c>
      <c r="C13" s="26">
        <f>SUM(C9:C12)</f>
        <v>265804</v>
      </c>
      <c r="D13" s="26">
        <f t="shared" ref="D13:E13" si="12">SUM(D9:D12)</f>
        <v>263989</v>
      </c>
      <c r="E13" s="26">
        <f t="shared" si="12"/>
        <v>304255</v>
      </c>
      <c r="F13" s="26">
        <f>SUM(F9:F12)</f>
        <v>295730.12771747529</v>
      </c>
      <c r="G13" s="26">
        <f t="shared" ref="G13:J13" si="13">SUM(G9:G12)</f>
        <v>307367.56564589543</v>
      </c>
      <c r="H13" s="26">
        <f t="shared" si="13"/>
        <v>315476.24277694215</v>
      </c>
      <c r="I13" s="26">
        <f t="shared" si="13"/>
        <v>327890.72087406478</v>
      </c>
      <c r="J13" s="26">
        <f t="shared" si="13"/>
        <v>336540.82025669451</v>
      </c>
    </row>
    <row r="14" spans="2:10" ht="17.100000000000001" customHeight="1" x14ac:dyDescent="0.25"/>
    <row r="15" spans="2:10" ht="17.100000000000001" customHeight="1" x14ac:dyDescent="0.25">
      <c r="B15" s="2" t="s">
        <v>19</v>
      </c>
      <c r="C15" s="2"/>
      <c r="D15" s="2"/>
      <c r="E15" s="2"/>
      <c r="F15" s="2"/>
      <c r="G15" s="2"/>
      <c r="H15" s="2"/>
      <c r="I15" s="2"/>
      <c r="J15" s="2"/>
    </row>
    <row r="16" spans="2:10" ht="17.100000000000001" customHeight="1" x14ac:dyDescent="0.25">
      <c r="B16" s="3" t="s">
        <v>1</v>
      </c>
      <c r="C16" s="3">
        <v>2022</v>
      </c>
      <c r="D16" s="3">
        <v>2023</v>
      </c>
      <c r="E16" s="3">
        <v>2024</v>
      </c>
      <c r="F16" s="3">
        <v>2025</v>
      </c>
      <c r="G16" s="3">
        <v>2026</v>
      </c>
      <c r="H16" s="3">
        <v>2027</v>
      </c>
      <c r="I16" s="3">
        <v>2028</v>
      </c>
      <c r="J16" s="3">
        <v>2029</v>
      </c>
    </row>
    <row r="17" spans="2:10" ht="17.100000000000001" customHeight="1" x14ac:dyDescent="0.25">
      <c r="B17" s="22" t="s">
        <v>2</v>
      </c>
      <c r="C17" s="27">
        <f>'Free Cash Flow'!C4</f>
        <v>1339464</v>
      </c>
      <c r="D17" s="27">
        <f>'Free Cash Flow'!D4</f>
        <v>1367719</v>
      </c>
      <c r="E17" s="27">
        <f>'Free Cash Flow'!E4</f>
        <v>1428716</v>
      </c>
      <c r="F17" s="27">
        <f>'Free Cash Flow'!F4</f>
        <v>1475643.5126251201</v>
      </c>
      <c r="G17" s="27">
        <f>'Free Cash Flow'!G4</f>
        <v>1524112.4032716111</v>
      </c>
      <c r="H17" s="27">
        <f>'Free Cash Flow'!H4</f>
        <v>1574173.2999415095</v>
      </c>
      <c r="I17" s="27">
        <f>'Free Cash Flow'!I4</f>
        <v>1625878.4935609077</v>
      </c>
      <c r="J17" s="27">
        <f>'Free Cash Flow'!J4</f>
        <v>1679281.9926002484</v>
      </c>
    </row>
    <row r="18" spans="2:10" ht="17.100000000000001" customHeight="1" x14ac:dyDescent="0.25">
      <c r="B18" s="22" t="s">
        <v>3</v>
      </c>
      <c r="C18" s="27">
        <f>-'Free Cash Flow'!C5</f>
        <v>945966</v>
      </c>
      <c r="D18" s="27">
        <f>-'Free Cash Flow'!D5</f>
        <v>957187</v>
      </c>
      <c r="E18" s="27">
        <f>-'Free Cash Flow'!E5</f>
        <v>993243</v>
      </c>
      <c r="F18" s="27">
        <f>-'Free Cash Flow'!F5</f>
        <v>1033574.590275015</v>
      </c>
      <c r="G18" s="27">
        <f>-'Free Cash Flow'!G5</f>
        <v>1067523.3139080771</v>
      </c>
      <c r="H18" s="27">
        <f>-'Free Cash Flow'!H5</f>
        <v>1102587.1151051179</v>
      </c>
      <c r="I18" s="27">
        <f>-'Free Cash Flow'!I5</f>
        <v>1138802.619631133</v>
      </c>
      <c r="J18" s="27">
        <f>-'Free Cash Flow'!J5</f>
        <v>1176207.6562586082</v>
      </c>
    </row>
    <row r="19" spans="2:10" ht="17.100000000000001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</row>
    <row r="20" spans="2:10" ht="17.100000000000001" customHeight="1" x14ac:dyDescent="0.25">
      <c r="B20" s="22" t="s">
        <v>30</v>
      </c>
      <c r="C20" s="28">
        <f>C4/C17*365</f>
        <v>5.3245925235765945</v>
      </c>
      <c r="D20" s="28">
        <f t="shared" ref="D20:E20" si="14">D4/D17*365</f>
        <v>7.6150693234502125</v>
      </c>
      <c r="E20" s="28">
        <f t="shared" si="14"/>
        <v>5.2374754674826907</v>
      </c>
      <c r="F20" s="28">
        <f>AVERAGE(C20:E20)</f>
        <v>6.0590457715031656</v>
      </c>
      <c r="G20" s="28">
        <f>F20</f>
        <v>6.0590457715031656</v>
      </c>
      <c r="H20" s="28">
        <f t="shared" ref="H20:J20" si="15">G20</f>
        <v>6.0590457715031656</v>
      </c>
      <c r="I20" s="28">
        <f t="shared" si="15"/>
        <v>6.0590457715031656</v>
      </c>
      <c r="J20" s="28">
        <f t="shared" si="15"/>
        <v>6.0590457715031656</v>
      </c>
    </row>
    <row r="21" spans="2:10" ht="17.100000000000001" customHeight="1" x14ac:dyDescent="0.25">
      <c r="B21" s="22" t="s">
        <v>31</v>
      </c>
      <c r="C21" s="28">
        <f>C5/C17*365</f>
        <v>27.571797375666687</v>
      </c>
      <c r="D21" s="28">
        <f t="shared" ref="D21:E21" si="16">D5/D17*365</f>
        <v>24.498986999522565</v>
      </c>
      <c r="E21" s="28">
        <f t="shared" si="16"/>
        <v>25.145298295812463</v>
      </c>
      <c r="F21" s="28">
        <f>AVERAGE(C21:E21)</f>
        <v>25.738694223667238</v>
      </c>
      <c r="G21" s="28">
        <f>F21</f>
        <v>25.738694223667238</v>
      </c>
      <c r="H21" s="28">
        <f t="shared" ref="H21:J22" si="17">G21</f>
        <v>25.738694223667238</v>
      </c>
      <c r="I21" s="28">
        <f t="shared" si="17"/>
        <v>25.738694223667238</v>
      </c>
      <c r="J21" s="28">
        <f t="shared" si="17"/>
        <v>25.738694223667238</v>
      </c>
    </row>
    <row r="22" spans="2:10" ht="17.100000000000001" customHeight="1" x14ac:dyDescent="0.25">
      <c r="B22" s="22" t="s">
        <v>32</v>
      </c>
      <c r="C22" s="28">
        <f>C9/C18*365</f>
        <v>76.187806961349565</v>
      </c>
      <c r="D22" s="28">
        <f t="shared" ref="D22:E22" si="18">D9/D18*365</f>
        <v>76.243403848986659</v>
      </c>
      <c r="E22" s="28">
        <f t="shared" si="18"/>
        <v>84.60967255747083</v>
      </c>
      <c r="F22" s="28">
        <f>AVERAGE(C22:E22)</f>
        <v>79.013627789269023</v>
      </c>
      <c r="G22" s="28">
        <f>F22</f>
        <v>79.013627789269023</v>
      </c>
      <c r="H22" s="28">
        <f t="shared" si="17"/>
        <v>79.013627789269023</v>
      </c>
      <c r="I22" s="28">
        <f t="shared" si="17"/>
        <v>79.013627789269023</v>
      </c>
      <c r="J22" s="28">
        <f t="shared" si="17"/>
        <v>79.013627789269023</v>
      </c>
    </row>
    <row r="23" spans="2:10" ht="17.100000000000001" customHeight="1" x14ac:dyDescent="0.25">
      <c r="B23" s="22"/>
      <c r="C23" s="22"/>
      <c r="D23" s="22"/>
      <c r="E23" s="22"/>
      <c r="F23" s="22"/>
      <c r="G23" s="22"/>
      <c r="H23" s="22"/>
      <c r="I23" s="22"/>
      <c r="J23" s="22"/>
    </row>
    <row r="24" spans="2:10" ht="17.100000000000001" customHeight="1" x14ac:dyDescent="0.25">
      <c r="B24" s="22" t="s">
        <v>135</v>
      </c>
      <c r="C24" s="23">
        <f>'Net Working Capital'!C6/'Net Working Capital'!C17</f>
        <v>0.20567854007274552</v>
      </c>
      <c r="D24" s="23">
        <f>'Net Working Capital'!D6/'Net Working Capital'!D17</f>
        <v>0.23718395372148812</v>
      </c>
      <c r="E24" s="23">
        <f>'Net Working Capital'!E6/'Net Working Capital'!E17</f>
        <v>0.24732907029808585</v>
      </c>
      <c r="F24" s="23">
        <f>AVERAGE(C24:E24)</f>
        <v>0.23006385469743984</v>
      </c>
      <c r="G24" s="23">
        <f>F24</f>
        <v>0.23006385469743984</v>
      </c>
      <c r="H24" s="23">
        <f t="shared" ref="H24:J25" si="19">G24</f>
        <v>0.23006385469743984</v>
      </c>
      <c r="I24" s="23">
        <f t="shared" si="19"/>
        <v>0.23006385469743984</v>
      </c>
      <c r="J24" s="23">
        <f t="shared" si="19"/>
        <v>0.23006385469743984</v>
      </c>
    </row>
    <row r="25" spans="2:10" ht="17.100000000000001" customHeight="1" x14ac:dyDescent="0.25">
      <c r="B25" s="22" t="s">
        <v>132</v>
      </c>
      <c r="C25" s="23">
        <f>C10/C17</f>
        <v>2.6351585410283516E-2</v>
      </c>
      <c r="D25" s="23">
        <f t="shared" ref="D25:E25" si="20">D10/D17</f>
        <v>2.1669655828426747E-2</v>
      </c>
      <c r="E25" s="23">
        <f t="shared" si="20"/>
        <v>2.2856186953880267E-2</v>
      </c>
      <c r="F25" s="23">
        <f>AVERAGE(C25:E25)</f>
        <v>2.3625809397530177E-2</v>
      </c>
      <c r="G25" s="23">
        <f>F25</f>
        <v>2.3625809397530177E-2</v>
      </c>
      <c r="H25" s="23">
        <f t="shared" si="19"/>
        <v>2.3625809397530177E-2</v>
      </c>
      <c r="I25" s="23">
        <f t="shared" si="19"/>
        <v>2.3625809397530177E-2</v>
      </c>
      <c r="J25" s="23">
        <f t="shared" si="19"/>
        <v>2.3625809397530177E-2</v>
      </c>
    </row>
    <row r="26" spans="2:10" ht="17.100000000000001" customHeight="1" x14ac:dyDescent="0.25">
      <c r="B26" s="22" t="s">
        <v>133</v>
      </c>
      <c r="C26" s="23">
        <f>0/C17</f>
        <v>0</v>
      </c>
      <c r="D26" s="23">
        <f>0/D17</f>
        <v>0</v>
      </c>
      <c r="E26" s="23">
        <f>E11/E17</f>
        <v>2.5288440809790049E-3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</row>
    <row r="27" spans="2:10" ht="17.100000000000001" customHeight="1" x14ac:dyDescent="0.25">
      <c r="B27" s="22" t="s">
        <v>134</v>
      </c>
      <c r="C27" s="23">
        <f>C12/C17</f>
        <v>2.4675541858534458E-2</v>
      </c>
      <c r="D27" s="23">
        <f t="shared" ref="D27:E27" si="21">D12/D17</f>
        <v>2.5157214310834317E-2</v>
      </c>
      <c r="E27" s="23">
        <f t="shared" si="21"/>
        <v>2.6419526343933995E-2</v>
      </c>
      <c r="F27" s="23">
        <f>D27</f>
        <v>2.5157214310834317E-2</v>
      </c>
      <c r="G27" s="23">
        <f t="shared" ref="G27:J27" si="22">E27</f>
        <v>2.6419526343933995E-2</v>
      </c>
      <c r="H27" s="23">
        <f t="shared" si="22"/>
        <v>2.5157214310834317E-2</v>
      </c>
      <c r="I27" s="23">
        <f t="shared" si="22"/>
        <v>2.6419526343933995E-2</v>
      </c>
      <c r="J27" s="23">
        <f t="shared" si="22"/>
        <v>2.5157214310834317E-2</v>
      </c>
    </row>
    <row r="28" spans="2:10" ht="17.100000000000001" customHeight="1" x14ac:dyDescent="0.25"/>
    <row r="29" spans="2:10" ht="17.100000000000001" customHeight="1" x14ac:dyDescent="0.25"/>
    <row r="30" spans="2:10" ht="17.100000000000001" customHeight="1" x14ac:dyDescent="0.25"/>
    <row r="31" spans="2:10" ht="17.100000000000001" customHeight="1" x14ac:dyDescent="0.25"/>
    <row r="32" spans="2:10" ht="17.100000000000001" customHeight="1" x14ac:dyDescent="0.25"/>
    <row r="33" ht="17.100000000000001" customHeight="1" x14ac:dyDescent="0.25"/>
    <row r="34" ht="17.100000000000001" customHeight="1" x14ac:dyDescent="0.25"/>
    <row r="35" ht="17.100000000000001" customHeight="1" x14ac:dyDescent="0.25"/>
    <row r="36" ht="17.100000000000001" customHeight="1" x14ac:dyDescent="0.25"/>
    <row r="37" ht="17.100000000000001" customHeight="1" x14ac:dyDescent="0.25"/>
    <row r="38" ht="17.100000000000001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000"/>
  <sheetViews>
    <sheetView showGridLines="0" workbookViewId="0">
      <selection activeCell="C20" sqref="C20"/>
    </sheetView>
  </sheetViews>
  <sheetFormatPr defaultColWidth="17.7109375" defaultRowHeight="15" customHeight="1" x14ac:dyDescent="0.25"/>
  <cols>
    <col min="1" max="1" width="2.7109375" style="1" customWidth="1"/>
    <col min="2" max="2" width="35.7109375" style="1" customWidth="1"/>
    <col min="3" max="16384" width="17.7109375" style="1"/>
  </cols>
  <sheetData>
    <row r="1" spans="2:11" ht="17.100000000000001" customHeight="1" x14ac:dyDescent="0.25"/>
    <row r="2" spans="2:11" ht="17.100000000000001" customHeight="1" x14ac:dyDescent="0.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ht="17.100000000000001" customHeight="1" x14ac:dyDescent="0.25">
      <c r="B3" s="3" t="s">
        <v>1</v>
      </c>
      <c r="C3" s="4"/>
      <c r="D3" s="3">
        <v>2022</v>
      </c>
      <c r="E3" s="3">
        <v>2023</v>
      </c>
      <c r="F3" s="3">
        <v>2024</v>
      </c>
      <c r="G3" s="3">
        <v>2025</v>
      </c>
      <c r="H3" s="3">
        <v>2026</v>
      </c>
      <c r="I3" s="3">
        <v>2027</v>
      </c>
      <c r="J3" s="3">
        <v>2028</v>
      </c>
      <c r="K3" s="3">
        <v>2029</v>
      </c>
    </row>
    <row r="4" spans="2:11" ht="17.100000000000001" customHeight="1" x14ac:dyDescent="0.25">
      <c r="B4" s="15" t="s">
        <v>18</v>
      </c>
      <c r="C4" s="24"/>
      <c r="D4" s="24">
        <f>'Free Cash Flow'!C20</f>
        <v>176503</v>
      </c>
      <c r="E4" s="24">
        <f>'Free Cash Flow'!D20</f>
        <v>118816</v>
      </c>
      <c r="F4" s="24">
        <f>'Free Cash Flow'!E20</f>
        <v>182231</v>
      </c>
      <c r="G4" s="24">
        <f>'Free Cash Flow'!F20</f>
        <v>180670.65263351399</v>
      </c>
      <c r="H4" s="24">
        <f>'Free Cash Flow'!G20</f>
        <v>187964.01732281412</v>
      </c>
      <c r="I4" s="24">
        <f>'Free Cash Flow'!H20</f>
        <v>190877.10364639253</v>
      </c>
      <c r="J4" s="24">
        <f>'Free Cash Flow'!I20</f>
        <v>201823.96767503943</v>
      </c>
      <c r="K4" s="24">
        <f>'Free Cash Flow'!J20</f>
        <v>204906.26188805251</v>
      </c>
    </row>
    <row r="5" spans="2:11" ht="17.100000000000001" customHeight="1" x14ac:dyDescent="0.25"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2:11" ht="17.100000000000001" customHeight="1" x14ac:dyDescent="0.25">
      <c r="B6" s="15" t="s">
        <v>33</v>
      </c>
      <c r="C6" s="15"/>
      <c r="D6" s="15"/>
      <c r="E6" s="15"/>
      <c r="F6" s="15"/>
      <c r="G6" s="15">
        <v>1</v>
      </c>
      <c r="H6" s="15">
        <v>2</v>
      </c>
      <c r="I6" s="15">
        <v>3</v>
      </c>
      <c r="J6" s="15">
        <v>4</v>
      </c>
      <c r="K6" s="15">
        <v>5</v>
      </c>
    </row>
    <row r="7" spans="2:11" ht="17.100000000000001" customHeight="1" x14ac:dyDescent="0.25">
      <c r="B7" s="29" t="s">
        <v>34</v>
      </c>
      <c r="C7" s="29"/>
      <c r="D7" s="29"/>
      <c r="E7" s="29"/>
      <c r="F7" s="29"/>
      <c r="G7" s="30">
        <f>G4/(1+$C$12)^G6</f>
        <v>169535.06238397452</v>
      </c>
      <c r="H7" s="30">
        <f t="shared" ref="H7:J7" si="0">H4/(1+$C$12)^H6</f>
        <v>165507.83307301832</v>
      </c>
      <c r="I7" s="30">
        <f t="shared" si="0"/>
        <v>157713.76068297037</v>
      </c>
      <c r="J7" s="30">
        <f t="shared" si="0"/>
        <v>156480.56588485857</v>
      </c>
      <c r="K7" s="30">
        <f>K4/(1+$C$12)^K6</f>
        <v>149078.43187273308</v>
      </c>
    </row>
    <row r="8" spans="2:11" ht="17.100000000000001" customHeight="1" x14ac:dyDescent="0.25"/>
    <row r="9" spans="2:11" ht="17.100000000000001" customHeight="1" x14ac:dyDescent="0.25">
      <c r="B9" s="65" t="s">
        <v>35</v>
      </c>
      <c r="C9" s="66"/>
      <c r="E9" s="65" t="s">
        <v>36</v>
      </c>
      <c r="F9" s="67"/>
      <c r="G9" s="67"/>
      <c r="H9" s="67"/>
      <c r="I9" s="67"/>
      <c r="J9" s="67"/>
      <c r="K9" s="66"/>
    </row>
    <row r="10" spans="2:11" ht="17.100000000000001" customHeight="1" x14ac:dyDescent="0.25">
      <c r="B10" s="15" t="s">
        <v>37</v>
      </c>
      <c r="C10" s="24">
        <f>SUM(G7:K7)</f>
        <v>798315.65389755485</v>
      </c>
      <c r="E10" s="15"/>
      <c r="F10" s="15"/>
      <c r="G10" s="15"/>
      <c r="H10" s="15"/>
      <c r="I10" s="15"/>
      <c r="J10" s="15"/>
      <c r="K10" s="15"/>
    </row>
    <row r="11" spans="2:11" ht="17.100000000000001" customHeight="1" x14ac:dyDescent="0.25">
      <c r="B11" s="15" t="s">
        <v>38</v>
      </c>
      <c r="C11" s="31">
        <v>0.02</v>
      </c>
      <c r="E11" s="15"/>
      <c r="F11" s="15"/>
      <c r="G11" s="65" t="s">
        <v>38</v>
      </c>
      <c r="H11" s="67"/>
      <c r="I11" s="67"/>
      <c r="J11" s="67"/>
      <c r="K11" s="66"/>
    </row>
    <row r="12" spans="2:11" ht="17.100000000000001" customHeight="1" x14ac:dyDescent="0.25">
      <c r="B12" s="15" t="s">
        <v>39</v>
      </c>
      <c r="C12" s="32">
        <f>WACC!C18</f>
        <v>6.5683110578735895E-2</v>
      </c>
      <c r="E12" s="15"/>
      <c r="F12" s="35">
        <f>C21</f>
        <v>2.8931051277505864</v>
      </c>
      <c r="G12" s="10">
        <f>H12-0.5%</f>
        <v>9.9999999999999985E-3</v>
      </c>
      <c r="H12" s="10">
        <f>I12-0.5%</f>
        <v>1.4999999999999999E-2</v>
      </c>
      <c r="I12" s="10">
        <v>0.02</v>
      </c>
      <c r="J12" s="10">
        <f>I12+0.5%</f>
        <v>2.5000000000000001E-2</v>
      </c>
      <c r="K12" s="10">
        <f>J12+0.5%</f>
        <v>3.0000000000000002E-2</v>
      </c>
    </row>
    <row r="13" spans="2:11" ht="17.100000000000001" customHeight="1" x14ac:dyDescent="0.25">
      <c r="B13" s="15" t="s">
        <v>40</v>
      </c>
      <c r="C13" s="24">
        <f>K4*(1+C11)/(C12-C11)</f>
        <v>4575090.9795336658</v>
      </c>
      <c r="E13" s="68" t="s">
        <v>39</v>
      </c>
      <c r="F13" s="10">
        <f>F14-0.5%</f>
        <v>5.56831105787359E-2</v>
      </c>
      <c r="G13" s="35">
        <f t="dataTable" ref="G13:K17" dt2D="1" dtr="1" r1="C11" r2="C12"/>
        <v>2.9921396238167612</v>
      </c>
      <c r="H13" s="35">
        <v>3.2872423937270816</v>
      </c>
      <c r="I13" s="35">
        <v>3.6650461291990148</v>
      </c>
      <c r="J13" s="35">
        <v>4.1659807103857087</v>
      </c>
      <c r="K13" s="35">
        <v>4.8619596494787389</v>
      </c>
    </row>
    <row r="14" spans="2:11" ht="17.100000000000001" customHeight="1" x14ac:dyDescent="0.25">
      <c r="B14" s="15" t="s">
        <v>41</v>
      </c>
      <c r="C14" s="24">
        <f>C13/(1+C12)^K6</f>
        <v>3328582.4582393272</v>
      </c>
      <c r="D14" s="8"/>
      <c r="E14" s="69"/>
      <c r="F14" s="10">
        <f>F15-0.5%</f>
        <v>6.0683110578735898E-2</v>
      </c>
      <c r="G14" s="35">
        <v>2.7096084277539685</v>
      </c>
      <c r="H14" s="11">
        <v>2.9420510979767314</v>
      </c>
      <c r="I14" s="11">
        <v>3.2316286988663374</v>
      </c>
      <c r="J14" s="11">
        <v>3.6023588663884536</v>
      </c>
      <c r="K14" s="35">
        <v>4.0939145175494547</v>
      </c>
    </row>
    <row r="15" spans="2:11" ht="17.100000000000001" customHeight="1" x14ac:dyDescent="0.25">
      <c r="B15" s="15" t="s">
        <v>42</v>
      </c>
      <c r="C15" s="24">
        <f>C14+C10</f>
        <v>4126898.1121368818</v>
      </c>
      <c r="E15" s="69"/>
      <c r="F15" s="10">
        <v>6.5683110578735895E-2</v>
      </c>
      <c r="G15" s="35">
        <v>2.4778491364872237</v>
      </c>
      <c r="H15" s="11">
        <v>2.664994175048903</v>
      </c>
      <c r="I15" s="12">
        <v>2.8931051277505864</v>
      </c>
      <c r="J15" s="11">
        <v>3.1772862652185516</v>
      </c>
      <c r="K15" s="35">
        <v>3.5411076394424783</v>
      </c>
    </row>
    <row r="16" spans="2:11" ht="17.100000000000001" customHeight="1" x14ac:dyDescent="0.25">
      <c r="B16" s="21" t="s">
        <v>43</v>
      </c>
      <c r="C16" s="24">
        <f>'Balance Sheet'!E9</f>
        <v>353363</v>
      </c>
      <c r="E16" s="69"/>
      <c r="F16" s="10">
        <f>F15+0.5%</f>
        <v>7.06831105787359E-2</v>
      </c>
      <c r="G16" s="35">
        <v>2.2843109703041784</v>
      </c>
      <c r="H16" s="11">
        <v>2.4377169429006615</v>
      </c>
      <c r="I16" s="11">
        <v>2.6213905866887481</v>
      </c>
      <c r="J16" s="11">
        <v>2.8452702588013539</v>
      </c>
      <c r="K16" s="35">
        <v>3.1241800574032617</v>
      </c>
    </row>
    <row r="17" spans="2:11" ht="17.100000000000001" customHeight="1" x14ac:dyDescent="0.25">
      <c r="B17" s="21" t="s">
        <v>44</v>
      </c>
      <c r="C17" s="24">
        <f>WACC!C4</f>
        <v>125617</v>
      </c>
      <c r="E17" s="70"/>
      <c r="F17" s="10">
        <f>F16+0.5%</f>
        <v>7.5683110578735904E-2</v>
      </c>
      <c r="G17" s="35">
        <v>2.1202647827365735</v>
      </c>
      <c r="H17" s="35">
        <v>2.247914087430551</v>
      </c>
      <c r="I17" s="35">
        <v>2.3984876331317704</v>
      </c>
      <c r="J17" s="35">
        <v>2.5787699997758762</v>
      </c>
      <c r="K17" s="35">
        <v>2.7985160466204322</v>
      </c>
    </row>
    <row r="18" spans="2:11" ht="17.100000000000001" customHeight="1" x14ac:dyDescent="0.25">
      <c r="B18" s="21" t="s">
        <v>45</v>
      </c>
      <c r="C18" s="24">
        <f>'Balance Sheet'!E28</f>
        <v>3414</v>
      </c>
    </row>
    <row r="19" spans="2:11" ht="17.100000000000001" customHeight="1" x14ac:dyDescent="0.25">
      <c r="B19" s="29" t="s">
        <v>46</v>
      </c>
      <c r="C19" s="30">
        <f>C15+C16-C17-C18</f>
        <v>4351230.1121368818</v>
      </c>
    </row>
    <row r="20" spans="2:11" ht="17.100000000000001" customHeight="1" x14ac:dyDescent="0.25">
      <c r="B20" s="15" t="s">
        <v>47</v>
      </c>
      <c r="C20" s="36">
        <v>1504000</v>
      </c>
    </row>
    <row r="21" spans="2:11" ht="17.100000000000001" customHeight="1" x14ac:dyDescent="0.25">
      <c r="B21" s="33" t="s">
        <v>48</v>
      </c>
      <c r="C21" s="34">
        <f>C19/C20</f>
        <v>2.8931051277505864</v>
      </c>
    </row>
    <row r="22" spans="2:11" ht="17.100000000000001" customHeight="1" x14ac:dyDescent="0.25"/>
    <row r="23" spans="2:11" ht="17.100000000000001" customHeight="1" x14ac:dyDescent="0.25"/>
    <row r="24" spans="2:11" ht="17.100000000000001" customHeight="1" x14ac:dyDescent="0.25"/>
    <row r="25" spans="2:11" ht="17.100000000000001" customHeight="1" x14ac:dyDescent="0.25"/>
    <row r="26" spans="2:11" ht="17.100000000000001" customHeight="1" x14ac:dyDescent="0.25"/>
    <row r="27" spans="2:11" ht="17.100000000000001" customHeight="1" x14ac:dyDescent="0.25"/>
    <row r="28" spans="2:11" ht="17.100000000000001" customHeight="1" x14ac:dyDescent="0.25"/>
    <row r="29" spans="2:11" ht="17.100000000000001" customHeight="1" x14ac:dyDescent="0.25"/>
    <row r="30" spans="2:11" ht="17.100000000000001" customHeight="1" x14ac:dyDescent="0.25"/>
    <row r="31" spans="2:11" ht="17.100000000000001" customHeight="1" x14ac:dyDescent="0.25"/>
    <row r="32" spans="2:11" ht="17.100000000000001" customHeight="1" x14ac:dyDescent="0.25"/>
    <row r="33" s="1" customFormat="1" ht="17.100000000000001" customHeight="1" x14ac:dyDescent="0.25"/>
    <row r="34" s="1" customFormat="1" ht="17.100000000000001" customHeight="1" x14ac:dyDescent="0.25"/>
    <row r="35" s="1" customFormat="1" ht="17.100000000000001" customHeight="1" x14ac:dyDescent="0.25"/>
    <row r="36" s="1" customFormat="1" ht="17.100000000000001" customHeight="1" x14ac:dyDescent="0.25"/>
    <row r="37" s="1" customFormat="1" ht="17.100000000000001" customHeight="1" x14ac:dyDescent="0.25"/>
    <row r="38" s="1" customFormat="1" ht="17.100000000000001" customHeight="1" x14ac:dyDescent="0.25"/>
    <row r="39" s="1" customFormat="1" ht="17.100000000000001" customHeight="1" x14ac:dyDescent="0.25"/>
    <row r="40" s="1" customFormat="1" ht="17.100000000000001" customHeight="1" x14ac:dyDescent="0.25"/>
    <row r="41" s="1" customFormat="1" ht="14.25" customHeight="1" x14ac:dyDescent="0.25"/>
    <row r="42" s="1" customFormat="1" ht="14.25" customHeight="1" x14ac:dyDescent="0.25"/>
    <row r="43" s="1" customFormat="1" ht="14.25" customHeight="1" x14ac:dyDescent="0.25"/>
    <row r="44" s="1" customFormat="1" ht="14.25" customHeight="1" x14ac:dyDescent="0.25"/>
    <row r="45" s="1" customFormat="1" ht="14.25" customHeight="1" x14ac:dyDescent="0.25"/>
    <row r="46" s="1" customFormat="1" ht="14.25" customHeight="1" x14ac:dyDescent="0.25"/>
    <row r="47" s="1" customFormat="1" ht="14.25" customHeight="1" x14ac:dyDescent="0.25"/>
    <row r="48" s="1" customFormat="1" ht="14.25" customHeight="1" x14ac:dyDescent="0.25"/>
    <row r="49" s="1" customFormat="1" ht="14.25" customHeight="1" x14ac:dyDescent="0.25"/>
    <row r="50" s="1" customFormat="1" ht="14.25" customHeight="1" x14ac:dyDescent="0.25"/>
    <row r="51" s="1" customFormat="1" ht="14.25" customHeight="1" x14ac:dyDescent="0.25"/>
    <row r="52" s="1" customFormat="1" ht="14.25" customHeight="1" x14ac:dyDescent="0.25"/>
    <row r="53" s="1" customFormat="1" ht="14.25" customHeight="1" x14ac:dyDescent="0.25"/>
    <row r="54" s="1" customFormat="1" ht="14.25" customHeight="1" x14ac:dyDescent="0.25"/>
    <row r="55" s="1" customFormat="1" ht="14.25" customHeight="1" x14ac:dyDescent="0.25"/>
    <row r="56" s="1" customFormat="1" ht="14.25" customHeight="1" x14ac:dyDescent="0.25"/>
    <row r="57" s="1" customFormat="1" ht="14.25" customHeight="1" x14ac:dyDescent="0.25"/>
    <row r="58" s="1" customFormat="1" ht="14.25" customHeight="1" x14ac:dyDescent="0.25"/>
    <row r="59" s="1" customFormat="1" ht="14.25" customHeight="1" x14ac:dyDescent="0.25"/>
    <row r="60" s="1" customFormat="1" ht="14.25" customHeight="1" x14ac:dyDescent="0.25"/>
    <row r="61" s="1" customFormat="1" ht="14.25" customHeight="1" x14ac:dyDescent="0.25"/>
    <row r="62" s="1" customFormat="1" ht="14.25" customHeight="1" x14ac:dyDescent="0.25"/>
    <row r="63" s="1" customFormat="1" ht="14.25" customHeight="1" x14ac:dyDescent="0.25"/>
    <row r="64" s="1" customFormat="1" ht="14.25" customHeight="1" x14ac:dyDescent="0.25"/>
    <row r="65" s="1" customFormat="1" ht="14.25" customHeight="1" x14ac:dyDescent="0.25"/>
    <row r="66" s="1" customFormat="1" ht="14.25" customHeight="1" x14ac:dyDescent="0.25"/>
    <row r="67" s="1" customFormat="1" ht="14.25" customHeight="1" x14ac:dyDescent="0.25"/>
    <row r="68" s="1" customFormat="1" ht="14.25" customHeight="1" x14ac:dyDescent="0.25"/>
    <row r="69" s="1" customFormat="1" ht="14.25" customHeight="1" x14ac:dyDescent="0.25"/>
    <row r="70" s="1" customFormat="1" ht="14.25" customHeight="1" x14ac:dyDescent="0.25"/>
    <row r="71" s="1" customFormat="1" ht="14.25" customHeight="1" x14ac:dyDescent="0.25"/>
    <row r="72" s="1" customFormat="1" ht="14.25" customHeight="1" x14ac:dyDescent="0.25"/>
    <row r="73" s="1" customFormat="1" ht="14.25" customHeight="1" x14ac:dyDescent="0.25"/>
    <row r="74" s="1" customFormat="1" ht="14.25" customHeight="1" x14ac:dyDescent="0.25"/>
    <row r="75" s="1" customFormat="1" ht="14.25" customHeight="1" x14ac:dyDescent="0.25"/>
    <row r="76" s="1" customFormat="1" ht="14.25" customHeight="1" x14ac:dyDescent="0.25"/>
    <row r="77" s="1" customFormat="1" ht="14.25" customHeight="1" x14ac:dyDescent="0.25"/>
    <row r="78" s="1" customFormat="1" ht="14.25" customHeight="1" x14ac:dyDescent="0.25"/>
    <row r="79" s="1" customFormat="1" ht="14.25" customHeight="1" x14ac:dyDescent="0.25"/>
    <row r="80" s="1" customFormat="1" ht="14.25" customHeight="1" x14ac:dyDescent="0.25"/>
    <row r="81" s="1" customFormat="1" ht="14.25" customHeight="1" x14ac:dyDescent="0.25"/>
    <row r="82" s="1" customFormat="1" ht="14.25" customHeight="1" x14ac:dyDescent="0.25"/>
    <row r="83" s="1" customFormat="1" ht="14.25" customHeight="1" x14ac:dyDescent="0.25"/>
    <row r="84" s="1" customFormat="1" ht="14.25" customHeight="1" x14ac:dyDescent="0.25"/>
    <row r="85" s="1" customFormat="1" ht="14.25" customHeight="1" x14ac:dyDescent="0.25"/>
    <row r="86" s="1" customFormat="1" ht="14.25" customHeight="1" x14ac:dyDescent="0.25"/>
    <row r="87" s="1" customFormat="1" ht="14.25" customHeight="1" x14ac:dyDescent="0.25"/>
    <row r="88" s="1" customFormat="1" ht="14.25" customHeight="1" x14ac:dyDescent="0.25"/>
    <row r="89" s="1" customFormat="1" ht="14.25" customHeight="1" x14ac:dyDescent="0.25"/>
    <row r="90" s="1" customFormat="1" ht="14.25" customHeight="1" x14ac:dyDescent="0.25"/>
    <row r="91" s="1" customFormat="1" ht="14.25" customHeight="1" x14ac:dyDescent="0.25"/>
    <row r="92" s="1" customFormat="1" ht="14.25" customHeight="1" x14ac:dyDescent="0.25"/>
    <row r="93" s="1" customFormat="1" ht="14.25" customHeight="1" x14ac:dyDescent="0.25"/>
    <row r="94" s="1" customFormat="1" ht="14.25" customHeight="1" x14ac:dyDescent="0.25"/>
    <row r="95" s="1" customFormat="1" ht="14.25" customHeight="1" x14ac:dyDescent="0.25"/>
    <row r="96" s="1" customFormat="1" ht="14.25" customHeight="1" x14ac:dyDescent="0.25"/>
    <row r="97" s="1" customFormat="1" ht="14.25" customHeight="1" x14ac:dyDescent="0.25"/>
    <row r="98" s="1" customFormat="1" ht="14.25" customHeight="1" x14ac:dyDescent="0.25"/>
    <row r="99" s="1" customFormat="1" ht="14.25" customHeight="1" x14ac:dyDescent="0.25"/>
    <row r="100" s="1" customFormat="1" ht="14.25" customHeight="1" x14ac:dyDescent="0.25"/>
    <row r="101" s="1" customFormat="1" ht="14.25" customHeight="1" x14ac:dyDescent="0.25"/>
    <row r="102" s="1" customFormat="1" ht="14.25" customHeight="1" x14ac:dyDescent="0.25"/>
    <row r="103" s="1" customFormat="1" ht="14.25" customHeight="1" x14ac:dyDescent="0.25"/>
    <row r="104" s="1" customFormat="1" ht="14.25" customHeight="1" x14ac:dyDescent="0.25"/>
    <row r="105" s="1" customFormat="1" ht="14.25" customHeight="1" x14ac:dyDescent="0.25"/>
    <row r="106" s="1" customFormat="1" ht="14.25" customHeight="1" x14ac:dyDescent="0.25"/>
    <row r="107" s="1" customFormat="1" ht="14.25" customHeight="1" x14ac:dyDescent="0.25"/>
    <row r="108" s="1" customFormat="1" ht="14.25" customHeight="1" x14ac:dyDescent="0.25"/>
    <row r="109" s="1" customFormat="1" ht="14.25" customHeight="1" x14ac:dyDescent="0.25"/>
    <row r="110" s="1" customFormat="1" ht="14.25" customHeight="1" x14ac:dyDescent="0.25"/>
    <row r="111" s="1" customFormat="1" ht="14.25" customHeight="1" x14ac:dyDescent="0.25"/>
    <row r="112" s="1" customFormat="1" ht="14.25" customHeight="1" x14ac:dyDescent="0.25"/>
    <row r="113" s="1" customFormat="1" ht="14.25" customHeight="1" x14ac:dyDescent="0.25"/>
    <row r="114" s="1" customFormat="1" ht="14.25" customHeight="1" x14ac:dyDescent="0.25"/>
    <row r="115" s="1" customFormat="1" ht="14.25" customHeight="1" x14ac:dyDescent="0.25"/>
    <row r="116" s="1" customFormat="1" ht="14.25" customHeight="1" x14ac:dyDescent="0.25"/>
    <row r="117" s="1" customFormat="1" ht="14.25" customHeight="1" x14ac:dyDescent="0.25"/>
    <row r="118" s="1" customFormat="1" ht="14.25" customHeight="1" x14ac:dyDescent="0.25"/>
    <row r="119" s="1" customFormat="1" ht="14.25" customHeight="1" x14ac:dyDescent="0.25"/>
    <row r="120" s="1" customFormat="1" ht="14.25" customHeight="1" x14ac:dyDescent="0.25"/>
    <row r="121" s="1" customFormat="1" ht="14.25" customHeight="1" x14ac:dyDescent="0.25"/>
    <row r="122" s="1" customFormat="1" ht="14.25" customHeight="1" x14ac:dyDescent="0.25"/>
    <row r="123" s="1" customFormat="1" ht="14.25" customHeight="1" x14ac:dyDescent="0.25"/>
    <row r="124" s="1" customFormat="1" ht="14.25" customHeight="1" x14ac:dyDescent="0.25"/>
    <row r="125" s="1" customFormat="1" ht="14.25" customHeight="1" x14ac:dyDescent="0.25"/>
    <row r="126" s="1" customFormat="1" ht="14.25" customHeight="1" x14ac:dyDescent="0.25"/>
    <row r="127" s="1" customFormat="1" ht="14.25" customHeight="1" x14ac:dyDescent="0.25"/>
    <row r="128" s="1" customFormat="1" ht="14.25" customHeight="1" x14ac:dyDescent="0.25"/>
    <row r="129" s="1" customFormat="1" ht="14.25" customHeight="1" x14ac:dyDescent="0.25"/>
    <row r="130" s="1" customFormat="1" ht="14.25" customHeight="1" x14ac:dyDescent="0.25"/>
    <row r="131" s="1" customFormat="1" ht="14.25" customHeight="1" x14ac:dyDescent="0.25"/>
    <row r="132" s="1" customFormat="1" ht="14.25" customHeight="1" x14ac:dyDescent="0.25"/>
    <row r="133" s="1" customFormat="1" ht="14.25" customHeight="1" x14ac:dyDescent="0.25"/>
    <row r="134" s="1" customFormat="1" ht="14.25" customHeight="1" x14ac:dyDescent="0.25"/>
    <row r="135" s="1" customFormat="1" ht="14.25" customHeight="1" x14ac:dyDescent="0.25"/>
    <row r="136" s="1" customFormat="1" ht="14.25" customHeight="1" x14ac:dyDescent="0.25"/>
    <row r="137" s="1" customFormat="1" ht="14.25" customHeight="1" x14ac:dyDescent="0.25"/>
    <row r="138" s="1" customFormat="1" ht="14.25" customHeight="1" x14ac:dyDescent="0.25"/>
    <row r="139" s="1" customFormat="1" ht="14.25" customHeight="1" x14ac:dyDescent="0.25"/>
    <row r="140" s="1" customFormat="1" ht="14.25" customHeight="1" x14ac:dyDescent="0.25"/>
    <row r="141" s="1" customFormat="1" ht="14.25" customHeight="1" x14ac:dyDescent="0.25"/>
    <row r="142" s="1" customFormat="1" ht="14.25" customHeight="1" x14ac:dyDescent="0.25"/>
    <row r="143" s="1" customFormat="1" ht="14.25" customHeight="1" x14ac:dyDescent="0.25"/>
    <row r="144" s="1" customFormat="1" ht="14.25" customHeight="1" x14ac:dyDescent="0.25"/>
    <row r="145" s="1" customFormat="1" ht="14.25" customHeight="1" x14ac:dyDescent="0.25"/>
    <row r="146" s="1" customFormat="1" ht="14.25" customHeight="1" x14ac:dyDescent="0.25"/>
    <row r="147" s="1" customFormat="1" ht="14.25" customHeight="1" x14ac:dyDescent="0.25"/>
    <row r="148" s="1" customFormat="1" ht="14.25" customHeight="1" x14ac:dyDescent="0.25"/>
    <row r="149" s="1" customFormat="1" ht="14.25" customHeight="1" x14ac:dyDescent="0.25"/>
    <row r="150" s="1" customFormat="1" ht="14.25" customHeight="1" x14ac:dyDescent="0.25"/>
    <row r="151" s="1" customFormat="1" ht="14.25" customHeight="1" x14ac:dyDescent="0.25"/>
    <row r="152" s="1" customFormat="1" ht="14.25" customHeight="1" x14ac:dyDescent="0.25"/>
    <row r="153" s="1" customFormat="1" ht="14.25" customHeight="1" x14ac:dyDescent="0.25"/>
    <row r="154" s="1" customFormat="1" ht="14.25" customHeight="1" x14ac:dyDescent="0.25"/>
    <row r="155" s="1" customFormat="1" ht="14.25" customHeight="1" x14ac:dyDescent="0.25"/>
    <row r="156" s="1" customFormat="1" ht="14.25" customHeight="1" x14ac:dyDescent="0.25"/>
    <row r="157" s="1" customFormat="1" ht="14.25" customHeight="1" x14ac:dyDescent="0.25"/>
    <row r="158" s="1" customFormat="1" ht="14.25" customHeight="1" x14ac:dyDescent="0.25"/>
    <row r="159" s="1" customFormat="1" ht="14.25" customHeight="1" x14ac:dyDescent="0.25"/>
    <row r="160" s="1" customFormat="1" ht="14.25" customHeight="1" x14ac:dyDescent="0.25"/>
    <row r="161" s="1" customFormat="1" ht="14.25" customHeight="1" x14ac:dyDescent="0.25"/>
    <row r="162" s="1" customFormat="1" ht="14.25" customHeight="1" x14ac:dyDescent="0.25"/>
    <row r="163" s="1" customFormat="1" ht="14.25" customHeight="1" x14ac:dyDescent="0.25"/>
    <row r="164" s="1" customFormat="1" ht="14.25" customHeight="1" x14ac:dyDescent="0.25"/>
    <row r="165" s="1" customFormat="1" ht="14.25" customHeight="1" x14ac:dyDescent="0.25"/>
    <row r="166" s="1" customFormat="1" ht="14.25" customHeight="1" x14ac:dyDescent="0.25"/>
    <row r="167" s="1" customFormat="1" ht="14.25" customHeight="1" x14ac:dyDescent="0.25"/>
    <row r="168" s="1" customFormat="1" ht="14.25" customHeight="1" x14ac:dyDescent="0.25"/>
    <row r="169" s="1" customFormat="1" ht="14.25" customHeight="1" x14ac:dyDescent="0.25"/>
    <row r="170" s="1" customFormat="1" ht="14.25" customHeight="1" x14ac:dyDescent="0.25"/>
    <row r="171" s="1" customFormat="1" ht="14.25" customHeight="1" x14ac:dyDescent="0.25"/>
    <row r="172" s="1" customFormat="1" ht="14.25" customHeight="1" x14ac:dyDescent="0.25"/>
    <row r="173" s="1" customFormat="1" ht="14.25" customHeight="1" x14ac:dyDescent="0.25"/>
    <row r="174" s="1" customFormat="1" ht="14.25" customHeight="1" x14ac:dyDescent="0.25"/>
    <row r="175" s="1" customFormat="1" ht="14.25" customHeight="1" x14ac:dyDescent="0.25"/>
    <row r="176" s="1" customFormat="1" ht="14.25" customHeight="1" x14ac:dyDescent="0.25"/>
    <row r="177" s="1" customFormat="1" ht="14.25" customHeight="1" x14ac:dyDescent="0.25"/>
    <row r="178" s="1" customFormat="1" ht="14.25" customHeight="1" x14ac:dyDescent="0.25"/>
    <row r="179" s="1" customFormat="1" ht="14.25" customHeight="1" x14ac:dyDescent="0.25"/>
    <row r="180" s="1" customFormat="1" ht="14.25" customHeight="1" x14ac:dyDescent="0.25"/>
    <row r="181" s="1" customFormat="1" ht="14.25" customHeight="1" x14ac:dyDescent="0.25"/>
    <row r="182" s="1" customFormat="1" ht="14.25" customHeight="1" x14ac:dyDescent="0.25"/>
    <row r="183" s="1" customFormat="1" ht="14.25" customHeight="1" x14ac:dyDescent="0.25"/>
    <row r="184" s="1" customFormat="1" ht="14.25" customHeight="1" x14ac:dyDescent="0.25"/>
    <row r="185" s="1" customFormat="1" ht="14.25" customHeight="1" x14ac:dyDescent="0.25"/>
    <row r="186" s="1" customFormat="1" ht="14.25" customHeight="1" x14ac:dyDescent="0.25"/>
    <row r="187" s="1" customFormat="1" ht="14.25" customHeight="1" x14ac:dyDescent="0.25"/>
    <row r="188" s="1" customFormat="1" ht="14.25" customHeight="1" x14ac:dyDescent="0.25"/>
    <row r="189" s="1" customFormat="1" ht="14.25" customHeight="1" x14ac:dyDescent="0.25"/>
    <row r="190" s="1" customFormat="1" ht="14.25" customHeight="1" x14ac:dyDescent="0.25"/>
    <row r="191" s="1" customFormat="1" ht="14.25" customHeight="1" x14ac:dyDescent="0.25"/>
    <row r="192" s="1" customFormat="1" ht="14.25" customHeight="1" x14ac:dyDescent="0.25"/>
    <row r="193" s="1" customFormat="1" ht="14.25" customHeight="1" x14ac:dyDescent="0.25"/>
    <row r="194" s="1" customFormat="1" ht="14.25" customHeight="1" x14ac:dyDescent="0.25"/>
    <row r="195" s="1" customFormat="1" ht="14.25" customHeight="1" x14ac:dyDescent="0.25"/>
    <row r="196" s="1" customFormat="1" ht="14.25" customHeight="1" x14ac:dyDescent="0.25"/>
    <row r="197" s="1" customFormat="1" ht="14.25" customHeight="1" x14ac:dyDescent="0.25"/>
    <row r="198" s="1" customFormat="1" ht="14.25" customHeight="1" x14ac:dyDescent="0.25"/>
    <row r="199" s="1" customFormat="1" ht="14.25" customHeight="1" x14ac:dyDescent="0.25"/>
    <row r="200" s="1" customFormat="1" ht="14.25" customHeight="1" x14ac:dyDescent="0.25"/>
    <row r="201" s="1" customFormat="1" ht="14.25" customHeight="1" x14ac:dyDescent="0.25"/>
    <row r="202" s="1" customFormat="1" ht="14.25" customHeight="1" x14ac:dyDescent="0.25"/>
    <row r="203" s="1" customFormat="1" ht="14.25" customHeight="1" x14ac:dyDescent="0.25"/>
    <row r="204" s="1" customFormat="1" ht="14.25" customHeight="1" x14ac:dyDescent="0.25"/>
    <row r="205" s="1" customFormat="1" ht="14.25" customHeight="1" x14ac:dyDescent="0.25"/>
    <row r="206" s="1" customFormat="1" ht="14.25" customHeight="1" x14ac:dyDescent="0.25"/>
    <row r="207" s="1" customFormat="1" ht="14.25" customHeight="1" x14ac:dyDescent="0.25"/>
    <row r="208" s="1" customFormat="1" ht="14.25" customHeight="1" x14ac:dyDescent="0.25"/>
    <row r="209" s="1" customFormat="1" ht="14.25" customHeight="1" x14ac:dyDescent="0.25"/>
    <row r="210" s="1" customFormat="1" ht="14.25" customHeight="1" x14ac:dyDescent="0.25"/>
    <row r="211" s="1" customFormat="1" ht="14.25" customHeight="1" x14ac:dyDescent="0.25"/>
    <row r="212" s="1" customFormat="1" ht="14.25" customHeight="1" x14ac:dyDescent="0.25"/>
    <row r="213" s="1" customFormat="1" ht="14.25" customHeight="1" x14ac:dyDescent="0.25"/>
    <row r="214" s="1" customFormat="1" ht="14.25" customHeight="1" x14ac:dyDescent="0.25"/>
    <row r="215" s="1" customFormat="1" ht="14.25" customHeight="1" x14ac:dyDescent="0.25"/>
    <row r="216" s="1" customFormat="1" ht="14.25" customHeight="1" x14ac:dyDescent="0.25"/>
    <row r="217" s="1" customFormat="1" ht="14.25" customHeight="1" x14ac:dyDescent="0.25"/>
    <row r="218" s="1" customFormat="1" ht="14.25" customHeight="1" x14ac:dyDescent="0.25"/>
    <row r="219" s="1" customFormat="1" ht="14.25" customHeight="1" x14ac:dyDescent="0.25"/>
    <row r="220" s="1" customFormat="1" ht="14.25" customHeight="1" x14ac:dyDescent="0.25"/>
    <row r="221" s="1" customFormat="1" ht="14.25" customHeight="1" x14ac:dyDescent="0.25"/>
    <row r="222" s="1" customFormat="1" ht="14.25" customHeight="1" x14ac:dyDescent="0.25"/>
    <row r="223" s="1" customFormat="1" ht="14.25" customHeight="1" x14ac:dyDescent="0.25"/>
    <row r="224" s="1" customFormat="1" ht="14.25" customHeight="1" x14ac:dyDescent="0.25"/>
    <row r="225" s="1" customFormat="1" ht="14.25" customHeight="1" x14ac:dyDescent="0.25"/>
    <row r="226" s="1" customFormat="1" ht="14.25" customHeight="1" x14ac:dyDescent="0.25"/>
    <row r="227" s="1" customFormat="1" ht="14.25" customHeight="1" x14ac:dyDescent="0.25"/>
    <row r="228" s="1" customFormat="1" ht="14.25" customHeight="1" x14ac:dyDescent="0.25"/>
    <row r="229" s="1" customFormat="1" ht="14.25" customHeight="1" x14ac:dyDescent="0.25"/>
    <row r="230" s="1" customFormat="1" ht="14.25" customHeight="1" x14ac:dyDescent="0.25"/>
    <row r="231" s="1" customFormat="1" ht="14.25" customHeight="1" x14ac:dyDescent="0.25"/>
    <row r="232" s="1" customFormat="1" ht="14.25" customHeight="1" x14ac:dyDescent="0.25"/>
    <row r="233" s="1" customFormat="1" ht="14.25" customHeight="1" x14ac:dyDescent="0.25"/>
    <row r="234" s="1" customFormat="1" ht="14.25" customHeight="1" x14ac:dyDescent="0.25"/>
    <row r="235" s="1" customFormat="1" ht="14.25" customHeight="1" x14ac:dyDescent="0.25"/>
    <row r="236" s="1" customFormat="1" ht="14.25" customHeight="1" x14ac:dyDescent="0.25"/>
    <row r="237" s="1" customFormat="1" ht="14.25" customHeight="1" x14ac:dyDescent="0.25"/>
    <row r="238" s="1" customFormat="1" ht="14.25" customHeight="1" x14ac:dyDescent="0.25"/>
    <row r="239" s="1" customFormat="1" ht="14.25" customHeight="1" x14ac:dyDescent="0.25"/>
    <row r="240" s="1" customFormat="1" ht="14.25" customHeight="1" x14ac:dyDescent="0.25"/>
    <row r="241" s="1" customFormat="1" ht="14.25" customHeight="1" x14ac:dyDescent="0.25"/>
    <row r="242" s="1" customFormat="1" ht="14.25" customHeight="1" x14ac:dyDescent="0.25"/>
    <row r="243" s="1" customFormat="1" ht="14.25" customHeight="1" x14ac:dyDescent="0.25"/>
    <row r="244" s="1" customFormat="1" ht="14.25" customHeight="1" x14ac:dyDescent="0.25"/>
    <row r="245" s="1" customFormat="1" ht="14.25" customHeight="1" x14ac:dyDescent="0.25"/>
    <row r="246" s="1" customFormat="1" ht="14.25" customHeight="1" x14ac:dyDescent="0.25"/>
    <row r="247" s="1" customFormat="1" ht="14.25" customHeight="1" x14ac:dyDescent="0.25"/>
    <row r="248" s="1" customFormat="1" ht="14.25" customHeight="1" x14ac:dyDescent="0.25"/>
    <row r="249" s="1" customFormat="1" ht="14.25" customHeight="1" x14ac:dyDescent="0.25"/>
    <row r="250" s="1" customFormat="1" ht="14.25" customHeight="1" x14ac:dyDescent="0.25"/>
    <row r="251" s="1" customFormat="1" ht="14.25" customHeight="1" x14ac:dyDescent="0.25"/>
    <row r="252" s="1" customFormat="1" ht="14.25" customHeight="1" x14ac:dyDescent="0.25"/>
    <row r="253" s="1" customFormat="1" ht="14.25" customHeight="1" x14ac:dyDescent="0.25"/>
    <row r="254" s="1" customFormat="1" ht="14.25" customHeight="1" x14ac:dyDescent="0.25"/>
    <row r="255" s="1" customFormat="1" ht="14.25" customHeight="1" x14ac:dyDescent="0.25"/>
    <row r="256" s="1" customFormat="1" ht="14.25" customHeight="1" x14ac:dyDescent="0.25"/>
    <row r="257" s="1" customFormat="1" ht="14.25" customHeight="1" x14ac:dyDescent="0.25"/>
    <row r="258" s="1" customFormat="1" ht="14.25" customHeight="1" x14ac:dyDescent="0.25"/>
    <row r="259" s="1" customFormat="1" ht="14.25" customHeight="1" x14ac:dyDescent="0.25"/>
    <row r="260" s="1" customFormat="1" ht="14.25" customHeight="1" x14ac:dyDescent="0.25"/>
    <row r="261" s="1" customFormat="1" ht="14.25" customHeight="1" x14ac:dyDescent="0.25"/>
    <row r="262" s="1" customFormat="1" ht="14.25" customHeight="1" x14ac:dyDescent="0.25"/>
    <row r="263" s="1" customFormat="1" ht="14.25" customHeight="1" x14ac:dyDescent="0.25"/>
    <row r="264" s="1" customFormat="1" ht="14.25" customHeight="1" x14ac:dyDescent="0.25"/>
    <row r="265" s="1" customFormat="1" ht="14.25" customHeight="1" x14ac:dyDescent="0.25"/>
    <row r="266" s="1" customFormat="1" ht="14.25" customHeight="1" x14ac:dyDescent="0.25"/>
    <row r="267" s="1" customFormat="1" ht="14.25" customHeight="1" x14ac:dyDescent="0.25"/>
    <row r="268" s="1" customFormat="1" ht="14.25" customHeight="1" x14ac:dyDescent="0.25"/>
    <row r="269" s="1" customFormat="1" ht="14.25" customHeight="1" x14ac:dyDescent="0.25"/>
    <row r="270" s="1" customFormat="1" ht="14.25" customHeight="1" x14ac:dyDescent="0.25"/>
    <row r="271" s="1" customFormat="1" ht="14.25" customHeight="1" x14ac:dyDescent="0.25"/>
    <row r="272" s="1" customFormat="1" ht="14.25" customHeight="1" x14ac:dyDescent="0.25"/>
    <row r="273" s="1" customFormat="1" ht="14.25" customHeight="1" x14ac:dyDescent="0.25"/>
    <row r="274" s="1" customFormat="1" ht="14.25" customHeight="1" x14ac:dyDescent="0.25"/>
    <row r="275" s="1" customFormat="1" ht="14.25" customHeight="1" x14ac:dyDescent="0.25"/>
    <row r="276" s="1" customFormat="1" ht="14.25" customHeight="1" x14ac:dyDescent="0.25"/>
    <row r="277" s="1" customFormat="1" ht="14.25" customHeight="1" x14ac:dyDescent="0.25"/>
    <row r="278" s="1" customFormat="1" ht="14.25" customHeight="1" x14ac:dyDescent="0.25"/>
    <row r="279" s="1" customFormat="1" ht="14.25" customHeight="1" x14ac:dyDescent="0.25"/>
    <row r="280" s="1" customFormat="1" ht="14.25" customHeight="1" x14ac:dyDescent="0.25"/>
    <row r="281" s="1" customFormat="1" ht="14.25" customHeight="1" x14ac:dyDescent="0.25"/>
    <row r="282" s="1" customFormat="1" ht="14.25" customHeight="1" x14ac:dyDescent="0.25"/>
    <row r="283" s="1" customFormat="1" ht="14.25" customHeight="1" x14ac:dyDescent="0.25"/>
    <row r="284" s="1" customFormat="1" ht="14.25" customHeight="1" x14ac:dyDescent="0.25"/>
    <row r="285" s="1" customFormat="1" ht="14.25" customHeight="1" x14ac:dyDescent="0.25"/>
    <row r="286" s="1" customFormat="1" ht="14.25" customHeight="1" x14ac:dyDescent="0.25"/>
    <row r="287" s="1" customFormat="1" ht="14.25" customHeight="1" x14ac:dyDescent="0.25"/>
    <row r="288" s="1" customFormat="1" ht="14.25" customHeight="1" x14ac:dyDescent="0.25"/>
    <row r="289" s="1" customFormat="1" ht="14.25" customHeight="1" x14ac:dyDescent="0.25"/>
    <row r="290" s="1" customFormat="1" ht="14.25" customHeight="1" x14ac:dyDescent="0.25"/>
    <row r="291" s="1" customFormat="1" ht="14.25" customHeight="1" x14ac:dyDescent="0.25"/>
    <row r="292" s="1" customFormat="1" ht="14.25" customHeight="1" x14ac:dyDescent="0.25"/>
    <row r="293" s="1" customFormat="1" ht="14.25" customHeight="1" x14ac:dyDescent="0.25"/>
    <row r="294" s="1" customFormat="1" ht="14.25" customHeight="1" x14ac:dyDescent="0.25"/>
    <row r="295" s="1" customFormat="1" ht="14.25" customHeight="1" x14ac:dyDescent="0.25"/>
    <row r="296" s="1" customFormat="1" ht="14.25" customHeight="1" x14ac:dyDescent="0.25"/>
    <row r="297" s="1" customFormat="1" ht="14.25" customHeight="1" x14ac:dyDescent="0.25"/>
    <row r="298" s="1" customFormat="1" ht="14.25" customHeight="1" x14ac:dyDescent="0.25"/>
    <row r="299" s="1" customFormat="1" ht="14.25" customHeight="1" x14ac:dyDescent="0.25"/>
    <row r="300" s="1" customFormat="1" ht="14.25" customHeight="1" x14ac:dyDescent="0.25"/>
    <row r="301" s="1" customFormat="1" ht="14.25" customHeight="1" x14ac:dyDescent="0.25"/>
    <row r="302" s="1" customFormat="1" ht="14.25" customHeight="1" x14ac:dyDescent="0.25"/>
    <row r="303" s="1" customFormat="1" ht="14.25" customHeight="1" x14ac:dyDescent="0.25"/>
    <row r="304" s="1" customFormat="1" ht="14.25" customHeight="1" x14ac:dyDescent="0.25"/>
    <row r="305" s="1" customFormat="1" ht="14.25" customHeight="1" x14ac:dyDescent="0.25"/>
    <row r="306" s="1" customFormat="1" ht="14.25" customHeight="1" x14ac:dyDescent="0.25"/>
    <row r="307" s="1" customFormat="1" ht="14.25" customHeight="1" x14ac:dyDescent="0.25"/>
    <row r="308" s="1" customFormat="1" ht="14.25" customHeight="1" x14ac:dyDescent="0.25"/>
    <row r="309" s="1" customFormat="1" ht="14.25" customHeight="1" x14ac:dyDescent="0.25"/>
    <row r="310" s="1" customFormat="1" ht="14.25" customHeight="1" x14ac:dyDescent="0.25"/>
    <row r="311" s="1" customFormat="1" ht="14.25" customHeight="1" x14ac:dyDescent="0.25"/>
    <row r="312" s="1" customFormat="1" ht="14.25" customHeight="1" x14ac:dyDescent="0.25"/>
    <row r="313" s="1" customFormat="1" ht="14.25" customHeight="1" x14ac:dyDescent="0.25"/>
    <row r="314" s="1" customFormat="1" ht="14.25" customHeight="1" x14ac:dyDescent="0.25"/>
    <row r="315" s="1" customFormat="1" ht="14.25" customHeight="1" x14ac:dyDescent="0.25"/>
    <row r="316" s="1" customFormat="1" ht="14.25" customHeight="1" x14ac:dyDescent="0.25"/>
    <row r="317" s="1" customFormat="1" ht="14.25" customHeight="1" x14ac:dyDescent="0.25"/>
    <row r="318" s="1" customFormat="1" ht="14.25" customHeight="1" x14ac:dyDescent="0.25"/>
    <row r="319" s="1" customFormat="1" ht="14.25" customHeight="1" x14ac:dyDescent="0.25"/>
    <row r="320" s="1" customFormat="1" ht="14.25" customHeight="1" x14ac:dyDescent="0.25"/>
    <row r="321" s="1" customFormat="1" ht="14.25" customHeight="1" x14ac:dyDescent="0.25"/>
    <row r="322" s="1" customFormat="1" ht="14.25" customHeight="1" x14ac:dyDescent="0.25"/>
    <row r="323" s="1" customFormat="1" ht="14.25" customHeight="1" x14ac:dyDescent="0.25"/>
    <row r="324" s="1" customFormat="1" ht="14.25" customHeight="1" x14ac:dyDescent="0.25"/>
    <row r="325" s="1" customFormat="1" ht="14.25" customHeight="1" x14ac:dyDescent="0.25"/>
    <row r="326" s="1" customFormat="1" ht="14.25" customHeight="1" x14ac:dyDescent="0.25"/>
    <row r="327" s="1" customFormat="1" ht="14.25" customHeight="1" x14ac:dyDescent="0.25"/>
    <row r="328" s="1" customFormat="1" ht="14.25" customHeight="1" x14ac:dyDescent="0.25"/>
    <row r="329" s="1" customFormat="1" ht="14.25" customHeight="1" x14ac:dyDescent="0.25"/>
    <row r="330" s="1" customFormat="1" ht="14.25" customHeight="1" x14ac:dyDescent="0.25"/>
    <row r="331" s="1" customFormat="1" ht="14.25" customHeight="1" x14ac:dyDescent="0.25"/>
    <row r="332" s="1" customFormat="1" ht="14.25" customHeight="1" x14ac:dyDescent="0.25"/>
    <row r="333" s="1" customFormat="1" ht="14.25" customHeight="1" x14ac:dyDescent="0.25"/>
    <row r="334" s="1" customFormat="1" ht="14.25" customHeight="1" x14ac:dyDescent="0.25"/>
    <row r="335" s="1" customFormat="1" ht="14.25" customHeight="1" x14ac:dyDescent="0.25"/>
    <row r="336" s="1" customFormat="1" ht="14.25" customHeight="1" x14ac:dyDescent="0.25"/>
    <row r="337" s="1" customFormat="1" ht="14.25" customHeight="1" x14ac:dyDescent="0.25"/>
    <row r="338" s="1" customFormat="1" ht="14.25" customHeight="1" x14ac:dyDescent="0.25"/>
    <row r="339" s="1" customFormat="1" ht="14.25" customHeight="1" x14ac:dyDescent="0.25"/>
    <row r="340" s="1" customFormat="1" ht="14.25" customHeight="1" x14ac:dyDescent="0.25"/>
    <row r="341" s="1" customFormat="1" ht="14.25" customHeight="1" x14ac:dyDescent="0.25"/>
    <row r="342" s="1" customFormat="1" ht="14.25" customHeight="1" x14ac:dyDescent="0.25"/>
    <row r="343" s="1" customFormat="1" ht="14.25" customHeight="1" x14ac:dyDescent="0.25"/>
    <row r="344" s="1" customFormat="1" ht="14.25" customHeight="1" x14ac:dyDescent="0.25"/>
    <row r="345" s="1" customFormat="1" ht="14.25" customHeight="1" x14ac:dyDescent="0.25"/>
    <row r="346" s="1" customFormat="1" ht="14.25" customHeight="1" x14ac:dyDescent="0.25"/>
    <row r="347" s="1" customFormat="1" ht="14.25" customHeight="1" x14ac:dyDescent="0.25"/>
    <row r="348" s="1" customFormat="1" ht="14.25" customHeight="1" x14ac:dyDescent="0.25"/>
    <row r="349" s="1" customFormat="1" ht="14.25" customHeight="1" x14ac:dyDescent="0.25"/>
    <row r="350" s="1" customFormat="1" ht="14.25" customHeight="1" x14ac:dyDescent="0.25"/>
    <row r="351" s="1" customFormat="1" ht="14.25" customHeight="1" x14ac:dyDescent="0.25"/>
    <row r="352" s="1" customFormat="1" ht="14.25" customHeight="1" x14ac:dyDescent="0.25"/>
    <row r="353" s="1" customFormat="1" ht="14.25" customHeight="1" x14ac:dyDescent="0.25"/>
    <row r="354" s="1" customFormat="1" ht="14.25" customHeight="1" x14ac:dyDescent="0.25"/>
    <row r="355" s="1" customFormat="1" ht="14.25" customHeight="1" x14ac:dyDescent="0.25"/>
    <row r="356" s="1" customFormat="1" ht="14.25" customHeight="1" x14ac:dyDescent="0.25"/>
    <row r="357" s="1" customFormat="1" ht="14.25" customHeight="1" x14ac:dyDescent="0.25"/>
    <row r="358" s="1" customFormat="1" ht="14.25" customHeight="1" x14ac:dyDescent="0.25"/>
    <row r="359" s="1" customFormat="1" ht="14.25" customHeight="1" x14ac:dyDescent="0.25"/>
    <row r="360" s="1" customFormat="1" ht="14.25" customHeight="1" x14ac:dyDescent="0.25"/>
    <row r="361" s="1" customFormat="1" ht="14.25" customHeight="1" x14ac:dyDescent="0.25"/>
    <row r="362" s="1" customFormat="1" ht="14.25" customHeight="1" x14ac:dyDescent="0.25"/>
    <row r="363" s="1" customFormat="1" ht="14.25" customHeight="1" x14ac:dyDescent="0.25"/>
    <row r="364" s="1" customFormat="1" ht="14.25" customHeight="1" x14ac:dyDescent="0.25"/>
    <row r="365" s="1" customFormat="1" ht="14.25" customHeight="1" x14ac:dyDescent="0.25"/>
    <row r="366" s="1" customFormat="1" ht="14.25" customHeight="1" x14ac:dyDescent="0.25"/>
    <row r="367" s="1" customFormat="1" ht="14.25" customHeight="1" x14ac:dyDescent="0.25"/>
    <row r="368" s="1" customFormat="1" ht="14.25" customHeight="1" x14ac:dyDescent="0.25"/>
    <row r="369" s="1" customFormat="1" ht="14.25" customHeight="1" x14ac:dyDescent="0.25"/>
    <row r="370" s="1" customFormat="1" ht="14.25" customHeight="1" x14ac:dyDescent="0.25"/>
    <row r="371" s="1" customFormat="1" ht="14.25" customHeight="1" x14ac:dyDescent="0.25"/>
    <row r="372" s="1" customFormat="1" ht="14.25" customHeight="1" x14ac:dyDescent="0.25"/>
    <row r="373" s="1" customFormat="1" ht="14.25" customHeight="1" x14ac:dyDescent="0.25"/>
    <row r="374" s="1" customFormat="1" ht="14.25" customHeight="1" x14ac:dyDescent="0.25"/>
    <row r="375" s="1" customFormat="1" ht="14.25" customHeight="1" x14ac:dyDescent="0.25"/>
    <row r="376" s="1" customFormat="1" ht="14.25" customHeight="1" x14ac:dyDescent="0.25"/>
    <row r="377" s="1" customFormat="1" ht="14.25" customHeight="1" x14ac:dyDescent="0.25"/>
    <row r="378" s="1" customFormat="1" ht="14.25" customHeight="1" x14ac:dyDescent="0.25"/>
    <row r="379" s="1" customFormat="1" ht="14.25" customHeight="1" x14ac:dyDescent="0.25"/>
    <row r="380" s="1" customFormat="1" ht="14.25" customHeight="1" x14ac:dyDescent="0.25"/>
    <row r="381" s="1" customFormat="1" ht="14.25" customHeight="1" x14ac:dyDescent="0.25"/>
    <row r="382" s="1" customFormat="1" ht="14.25" customHeight="1" x14ac:dyDescent="0.25"/>
    <row r="383" s="1" customFormat="1" ht="14.25" customHeight="1" x14ac:dyDescent="0.25"/>
    <row r="384" s="1" customFormat="1" ht="14.25" customHeight="1" x14ac:dyDescent="0.25"/>
    <row r="385" s="1" customFormat="1" ht="14.25" customHeight="1" x14ac:dyDescent="0.25"/>
    <row r="386" s="1" customFormat="1" ht="14.25" customHeight="1" x14ac:dyDescent="0.25"/>
    <row r="387" s="1" customFormat="1" ht="14.25" customHeight="1" x14ac:dyDescent="0.25"/>
    <row r="388" s="1" customFormat="1" ht="14.25" customHeight="1" x14ac:dyDescent="0.25"/>
    <row r="389" s="1" customFormat="1" ht="14.25" customHeight="1" x14ac:dyDescent="0.25"/>
    <row r="390" s="1" customFormat="1" ht="14.25" customHeight="1" x14ac:dyDescent="0.25"/>
    <row r="391" s="1" customFormat="1" ht="14.25" customHeight="1" x14ac:dyDescent="0.25"/>
    <row r="392" s="1" customFormat="1" ht="14.25" customHeight="1" x14ac:dyDescent="0.25"/>
    <row r="393" s="1" customFormat="1" ht="14.25" customHeight="1" x14ac:dyDescent="0.25"/>
    <row r="394" s="1" customFormat="1" ht="14.25" customHeight="1" x14ac:dyDescent="0.25"/>
    <row r="395" s="1" customFormat="1" ht="14.25" customHeight="1" x14ac:dyDescent="0.25"/>
    <row r="396" s="1" customFormat="1" ht="14.25" customHeight="1" x14ac:dyDescent="0.25"/>
    <row r="397" s="1" customFormat="1" ht="14.25" customHeight="1" x14ac:dyDescent="0.25"/>
    <row r="398" s="1" customFormat="1" ht="14.25" customHeight="1" x14ac:dyDescent="0.25"/>
    <row r="399" s="1" customFormat="1" ht="14.25" customHeight="1" x14ac:dyDescent="0.25"/>
    <row r="400" s="1" customFormat="1" ht="14.25" customHeight="1" x14ac:dyDescent="0.25"/>
    <row r="401" s="1" customFormat="1" ht="14.25" customHeight="1" x14ac:dyDescent="0.25"/>
    <row r="402" s="1" customFormat="1" ht="14.25" customHeight="1" x14ac:dyDescent="0.25"/>
    <row r="403" s="1" customFormat="1" ht="14.25" customHeight="1" x14ac:dyDescent="0.25"/>
    <row r="404" s="1" customFormat="1" ht="14.25" customHeight="1" x14ac:dyDescent="0.25"/>
    <row r="405" s="1" customFormat="1" ht="14.25" customHeight="1" x14ac:dyDescent="0.25"/>
    <row r="406" s="1" customFormat="1" ht="14.25" customHeight="1" x14ac:dyDescent="0.25"/>
    <row r="407" s="1" customFormat="1" ht="14.25" customHeight="1" x14ac:dyDescent="0.25"/>
    <row r="408" s="1" customFormat="1" ht="14.25" customHeight="1" x14ac:dyDescent="0.25"/>
    <row r="409" s="1" customFormat="1" ht="14.25" customHeight="1" x14ac:dyDescent="0.25"/>
    <row r="410" s="1" customFormat="1" ht="14.25" customHeight="1" x14ac:dyDescent="0.25"/>
    <row r="411" s="1" customFormat="1" ht="14.25" customHeight="1" x14ac:dyDescent="0.25"/>
    <row r="412" s="1" customFormat="1" ht="14.25" customHeight="1" x14ac:dyDescent="0.25"/>
    <row r="413" s="1" customFormat="1" ht="14.25" customHeight="1" x14ac:dyDescent="0.25"/>
    <row r="414" s="1" customFormat="1" ht="14.25" customHeight="1" x14ac:dyDescent="0.25"/>
    <row r="415" s="1" customFormat="1" ht="14.25" customHeight="1" x14ac:dyDescent="0.25"/>
    <row r="416" s="1" customFormat="1" ht="14.25" customHeight="1" x14ac:dyDescent="0.25"/>
    <row r="417" s="1" customFormat="1" ht="14.25" customHeight="1" x14ac:dyDescent="0.25"/>
    <row r="418" s="1" customFormat="1" ht="14.25" customHeight="1" x14ac:dyDescent="0.25"/>
    <row r="419" s="1" customFormat="1" ht="14.25" customHeight="1" x14ac:dyDescent="0.25"/>
    <row r="420" s="1" customFormat="1" ht="14.25" customHeight="1" x14ac:dyDescent="0.25"/>
    <row r="421" s="1" customFormat="1" ht="14.25" customHeight="1" x14ac:dyDescent="0.25"/>
    <row r="422" s="1" customFormat="1" ht="14.25" customHeight="1" x14ac:dyDescent="0.25"/>
    <row r="423" s="1" customFormat="1" ht="14.25" customHeight="1" x14ac:dyDescent="0.25"/>
    <row r="424" s="1" customFormat="1" ht="14.25" customHeight="1" x14ac:dyDescent="0.25"/>
    <row r="425" s="1" customFormat="1" ht="14.25" customHeight="1" x14ac:dyDescent="0.25"/>
    <row r="426" s="1" customFormat="1" ht="14.25" customHeight="1" x14ac:dyDescent="0.25"/>
    <row r="427" s="1" customFormat="1" ht="14.25" customHeight="1" x14ac:dyDescent="0.25"/>
    <row r="428" s="1" customFormat="1" ht="14.25" customHeight="1" x14ac:dyDescent="0.25"/>
    <row r="429" s="1" customFormat="1" ht="14.25" customHeight="1" x14ac:dyDescent="0.25"/>
    <row r="430" s="1" customFormat="1" ht="14.25" customHeight="1" x14ac:dyDescent="0.25"/>
    <row r="431" s="1" customFormat="1" ht="14.25" customHeight="1" x14ac:dyDescent="0.25"/>
    <row r="432" s="1" customFormat="1" ht="14.25" customHeight="1" x14ac:dyDescent="0.25"/>
    <row r="433" s="1" customFormat="1" ht="14.25" customHeight="1" x14ac:dyDescent="0.25"/>
    <row r="434" s="1" customFormat="1" ht="14.25" customHeight="1" x14ac:dyDescent="0.25"/>
    <row r="435" s="1" customFormat="1" ht="14.25" customHeight="1" x14ac:dyDescent="0.25"/>
    <row r="436" s="1" customFormat="1" ht="14.25" customHeight="1" x14ac:dyDescent="0.25"/>
    <row r="437" s="1" customFormat="1" ht="14.25" customHeight="1" x14ac:dyDescent="0.25"/>
    <row r="438" s="1" customFormat="1" ht="14.25" customHeight="1" x14ac:dyDescent="0.25"/>
    <row r="439" s="1" customFormat="1" ht="14.25" customHeight="1" x14ac:dyDescent="0.25"/>
    <row r="440" s="1" customFormat="1" ht="14.25" customHeight="1" x14ac:dyDescent="0.25"/>
    <row r="441" s="1" customFormat="1" ht="14.25" customHeight="1" x14ac:dyDescent="0.25"/>
    <row r="442" s="1" customFormat="1" ht="14.25" customHeight="1" x14ac:dyDescent="0.25"/>
    <row r="443" s="1" customFormat="1" ht="14.25" customHeight="1" x14ac:dyDescent="0.25"/>
    <row r="444" s="1" customFormat="1" ht="14.25" customHeight="1" x14ac:dyDescent="0.25"/>
    <row r="445" s="1" customFormat="1" ht="14.25" customHeight="1" x14ac:dyDescent="0.25"/>
    <row r="446" s="1" customFormat="1" ht="14.25" customHeight="1" x14ac:dyDescent="0.25"/>
    <row r="447" s="1" customFormat="1" ht="14.25" customHeight="1" x14ac:dyDescent="0.25"/>
    <row r="448" s="1" customFormat="1" ht="14.25" customHeight="1" x14ac:dyDescent="0.25"/>
    <row r="449" s="1" customFormat="1" ht="14.25" customHeight="1" x14ac:dyDescent="0.25"/>
    <row r="450" s="1" customFormat="1" ht="14.25" customHeight="1" x14ac:dyDescent="0.25"/>
    <row r="451" s="1" customFormat="1" ht="14.25" customHeight="1" x14ac:dyDescent="0.25"/>
    <row r="452" s="1" customFormat="1" ht="14.25" customHeight="1" x14ac:dyDescent="0.25"/>
    <row r="453" s="1" customFormat="1" ht="14.25" customHeight="1" x14ac:dyDescent="0.25"/>
    <row r="454" s="1" customFormat="1" ht="14.25" customHeight="1" x14ac:dyDescent="0.25"/>
    <row r="455" s="1" customFormat="1" ht="14.25" customHeight="1" x14ac:dyDescent="0.25"/>
    <row r="456" s="1" customFormat="1" ht="14.25" customHeight="1" x14ac:dyDescent="0.25"/>
    <row r="457" s="1" customFormat="1" ht="14.25" customHeight="1" x14ac:dyDescent="0.25"/>
    <row r="458" s="1" customFormat="1" ht="14.25" customHeight="1" x14ac:dyDescent="0.25"/>
    <row r="459" s="1" customFormat="1" ht="14.25" customHeight="1" x14ac:dyDescent="0.25"/>
    <row r="460" s="1" customFormat="1" ht="14.25" customHeight="1" x14ac:dyDescent="0.25"/>
    <row r="461" s="1" customFormat="1" ht="14.25" customHeight="1" x14ac:dyDescent="0.25"/>
    <row r="462" s="1" customFormat="1" ht="14.25" customHeight="1" x14ac:dyDescent="0.25"/>
    <row r="463" s="1" customFormat="1" ht="14.25" customHeight="1" x14ac:dyDescent="0.25"/>
    <row r="464" s="1" customFormat="1" ht="14.25" customHeight="1" x14ac:dyDescent="0.25"/>
    <row r="465" s="1" customFormat="1" ht="14.25" customHeight="1" x14ac:dyDescent="0.25"/>
    <row r="466" s="1" customFormat="1" ht="14.25" customHeight="1" x14ac:dyDescent="0.25"/>
    <row r="467" s="1" customFormat="1" ht="14.25" customHeight="1" x14ac:dyDescent="0.25"/>
    <row r="468" s="1" customFormat="1" ht="14.25" customHeight="1" x14ac:dyDescent="0.25"/>
    <row r="469" s="1" customFormat="1" ht="14.25" customHeight="1" x14ac:dyDescent="0.25"/>
    <row r="470" s="1" customFormat="1" ht="14.25" customHeight="1" x14ac:dyDescent="0.25"/>
    <row r="471" s="1" customFormat="1" ht="14.25" customHeight="1" x14ac:dyDescent="0.25"/>
    <row r="472" s="1" customFormat="1" ht="14.25" customHeight="1" x14ac:dyDescent="0.25"/>
    <row r="473" s="1" customFormat="1" ht="14.25" customHeight="1" x14ac:dyDescent="0.25"/>
    <row r="474" s="1" customFormat="1" ht="14.25" customHeight="1" x14ac:dyDescent="0.25"/>
    <row r="475" s="1" customFormat="1" ht="14.25" customHeight="1" x14ac:dyDescent="0.25"/>
    <row r="476" s="1" customFormat="1" ht="14.25" customHeight="1" x14ac:dyDescent="0.25"/>
    <row r="477" s="1" customFormat="1" ht="14.25" customHeight="1" x14ac:dyDescent="0.25"/>
    <row r="478" s="1" customFormat="1" ht="14.25" customHeight="1" x14ac:dyDescent="0.25"/>
    <row r="479" s="1" customFormat="1" ht="14.25" customHeight="1" x14ac:dyDescent="0.25"/>
    <row r="480" s="1" customFormat="1" ht="14.25" customHeight="1" x14ac:dyDescent="0.25"/>
    <row r="481" s="1" customFormat="1" ht="14.25" customHeight="1" x14ac:dyDescent="0.25"/>
    <row r="482" s="1" customFormat="1" ht="14.25" customHeight="1" x14ac:dyDescent="0.25"/>
    <row r="483" s="1" customFormat="1" ht="14.25" customHeight="1" x14ac:dyDescent="0.25"/>
    <row r="484" s="1" customFormat="1" ht="14.25" customHeight="1" x14ac:dyDescent="0.25"/>
    <row r="485" s="1" customFormat="1" ht="14.25" customHeight="1" x14ac:dyDescent="0.25"/>
    <row r="486" s="1" customFormat="1" ht="14.25" customHeight="1" x14ac:dyDescent="0.25"/>
    <row r="487" s="1" customFormat="1" ht="14.25" customHeight="1" x14ac:dyDescent="0.25"/>
    <row r="488" s="1" customFormat="1" ht="14.25" customHeight="1" x14ac:dyDescent="0.25"/>
    <row r="489" s="1" customFormat="1" ht="14.25" customHeight="1" x14ac:dyDescent="0.25"/>
    <row r="490" s="1" customFormat="1" ht="14.25" customHeight="1" x14ac:dyDescent="0.25"/>
    <row r="491" s="1" customFormat="1" ht="14.25" customHeight="1" x14ac:dyDescent="0.25"/>
    <row r="492" s="1" customFormat="1" ht="14.25" customHeight="1" x14ac:dyDescent="0.25"/>
    <row r="493" s="1" customFormat="1" ht="14.25" customHeight="1" x14ac:dyDescent="0.25"/>
    <row r="494" s="1" customFormat="1" ht="14.25" customHeight="1" x14ac:dyDescent="0.25"/>
    <row r="495" s="1" customFormat="1" ht="14.25" customHeight="1" x14ac:dyDescent="0.25"/>
    <row r="496" s="1" customFormat="1" ht="14.25" customHeight="1" x14ac:dyDescent="0.25"/>
    <row r="497" s="1" customFormat="1" ht="14.25" customHeight="1" x14ac:dyDescent="0.25"/>
    <row r="498" s="1" customFormat="1" ht="14.25" customHeight="1" x14ac:dyDescent="0.25"/>
    <row r="499" s="1" customFormat="1" ht="14.25" customHeight="1" x14ac:dyDescent="0.25"/>
    <row r="500" s="1" customFormat="1" ht="14.25" customHeight="1" x14ac:dyDescent="0.25"/>
    <row r="501" s="1" customFormat="1" ht="14.25" customHeight="1" x14ac:dyDescent="0.25"/>
    <row r="502" s="1" customFormat="1" ht="14.25" customHeight="1" x14ac:dyDescent="0.25"/>
    <row r="503" s="1" customFormat="1" ht="14.25" customHeight="1" x14ac:dyDescent="0.25"/>
    <row r="504" s="1" customFormat="1" ht="14.25" customHeight="1" x14ac:dyDescent="0.25"/>
    <row r="505" s="1" customFormat="1" ht="14.25" customHeight="1" x14ac:dyDescent="0.25"/>
    <row r="506" s="1" customFormat="1" ht="14.25" customHeight="1" x14ac:dyDescent="0.25"/>
    <row r="507" s="1" customFormat="1" ht="14.25" customHeight="1" x14ac:dyDescent="0.25"/>
    <row r="508" s="1" customFormat="1" ht="14.25" customHeight="1" x14ac:dyDescent="0.25"/>
    <row r="509" s="1" customFormat="1" ht="14.25" customHeight="1" x14ac:dyDescent="0.25"/>
    <row r="510" s="1" customFormat="1" ht="14.25" customHeight="1" x14ac:dyDescent="0.25"/>
    <row r="511" s="1" customFormat="1" ht="14.25" customHeight="1" x14ac:dyDescent="0.25"/>
    <row r="512" s="1" customFormat="1" ht="14.25" customHeight="1" x14ac:dyDescent="0.25"/>
    <row r="513" s="1" customFormat="1" ht="14.25" customHeight="1" x14ac:dyDescent="0.25"/>
    <row r="514" s="1" customFormat="1" ht="14.25" customHeight="1" x14ac:dyDescent="0.25"/>
    <row r="515" s="1" customFormat="1" ht="14.25" customHeight="1" x14ac:dyDescent="0.25"/>
    <row r="516" s="1" customFormat="1" ht="14.25" customHeight="1" x14ac:dyDescent="0.25"/>
    <row r="517" s="1" customFormat="1" ht="14.25" customHeight="1" x14ac:dyDescent="0.25"/>
    <row r="518" s="1" customFormat="1" ht="14.25" customHeight="1" x14ac:dyDescent="0.25"/>
    <row r="519" s="1" customFormat="1" ht="14.25" customHeight="1" x14ac:dyDescent="0.25"/>
    <row r="520" s="1" customFormat="1" ht="14.25" customHeight="1" x14ac:dyDescent="0.25"/>
    <row r="521" s="1" customFormat="1" ht="14.25" customHeight="1" x14ac:dyDescent="0.25"/>
    <row r="522" s="1" customFormat="1" ht="14.25" customHeight="1" x14ac:dyDescent="0.25"/>
    <row r="523" s="1" customFormat="1" ht="14.25" customHeight="1" x14ac:dyDescent="0.25"/>
    <row r="524" s="1" customFormat="1" ht="14.25" customHeight="1" x14ac:dyDescent="0.25"/>
    <row r="525" s="1" customFormat="1" ht="14.25" customHeight="1" x14ac:dyDescent="0.25"/>
    <row r="526" s="1" customFormat="1" ht="14.25" customHeight="1" x14ac:dyDescent="0.25"/>
    <row r="527" s="1" customFormat="1" ht="14.25" customHeight="1" x14ac:dyDescent="0.25"/>
    <row r="528" s="1" customFormat="1" ht="14.25" customHeight="1" x14ac:dyDescent="0.25"/>
    <row r="529" s="1" customFormat="1" ht="14.25" customHeight="1" x14ac:dyDescent="0.25"/>
    <row r="530" s="1" customFormat="1" ht="14.25" customHeight="1" x14ac:dyDescent="0.25"/>
    <row r="531" s="1" customFormat="1" ht="14.25" customHeight="1" x14ac:dyDescent="0.25"/>
    <row r="532" s="1" customFormat="1" ht="14.25" customHeight="1" x14ac:dyDescent="0.25"/>
    <row r="533" s="1" customFormat="1" ht="14.25" customHeight="1" x14ac:dyDescent="0.25"/>
    <row r="534" s="1" customFormat="1" ht="14.25" customHeight="1" x14ac:dyDescent="0.25"/>
    <row r="535" s="1" customFormat="1" ht="14.25" customHeight="1" x14ac:dyDescent="0.25"/>
    <row r="536" s="1" customFormat="1" ht="14.25" customHeight="1" x14ac:dyDescent="0.25"/>
    <row r="537" s="1" customFormat="1" ht="14.25" customHeight="1" x14ac:dyDescent="0.25"/>
    <row r="538" s="1" customFormat="1" ht="14.25" customHeight="1" x14ac:dyDescent="0.25"/>
    <row r="539" s="1" customFormat="1" ht="14.25" customHeight="1" x14ac:dyDescent="0.25"/>
    <row r="540" s="1" customFormat="1" ht="14.25" customHeight="1" x14ac:dyDescent="0.25"/>
    <row r="541" s="1" customFormat="1" ht="14.25" customHeight="1" x14ac:dyDescent="0.25"/>
    <row r="542" s="1" customFormat="1" ht="14.25" customHeight="1" x14ac:dyDescent="0.25"/>
    <row r="543" s="1" customFormat="1" ht="14.25" customHeight="1" x14ac:dyDescent="0.25"/>
    <row r="544" s="1" customFormat="1" ht="14.25" customHeight="1" x14ac:dyDescent="0.25"/>
    <row r="545" s="1" customFormat="1" ht="14.25" customHeight="1" x14ac:dyDescent="0.25"/>
    <row r="546" s="1" customFormat="1" ht="14.25" customHeight="1" x14ac:dyDescent="0.25"/>
    <row r="547" s="1" customFormat="1" ht="14.25" customHeight="1" x14ac:dyDescent="0.25"/>
    <row r="548" s="1" customFormat="1" ht="14.25" customHeight="1" x14ac:dyDescent="0.25"/>
    <row r="549" s="1" customFormat="1" ht="14.25" customHeight="1" x14ac:dyDescent="0.25"/>
    <row r="550" s="1" customFormat="1" ht="14.25" customHeight="1" x14ac:dyDescent="0.25"/>
    <row r="551" s="1" customFormat="1" ht="14.25" customHeight="1" x14ac:dyDescent="0.25"/>
    <row r="552" s="1" customFormat="1" ht="14.25" customHeight="1" x14ac:dyDescent="0.25"/>
    <row r="553" s="1" customFormat="1" ht="14.25" customHeight="1" x14ac:dyDescent="0.25"/>
    <row r="554" s="1" customFormat="1" ht="14.25" customHeight="1" x14ac:dyDescent="0.25"/>
    <row r="555" s="1" customFormat="1" ht="14.25" customHeight="1" x14ac:dyDescent="0.25"/>
    <row r="556" s="1" customFormat="1" ht="14.25" customHeight="1" x14ac:dyDescent="0.25"/>
    <row r="557" s="1" customFormat="1" ht="14.25" customHeight="1" x14ac:dyDescent="0.25"/>
    <row r="558" s="1" customFormat="1" ht="14.25" customHeight="1" x14ac:dyDescent="0.25"/>
    <row r="559" s="1" customFormat="1" ht="14.25" customHeight="1" x14ac:dyDescent="0.25"/>
    <row r="560" s="1" customFormat="1" ht="14.25" customHeight="1" x14ac:dyDescent="0.25"/>
    <row r="561" s="1" customFormat="1" ht="14.25" customHeight="1" x14ac:dyDescent="0.25"/>
    <row r="562" s="1" customFormat="1" ht="14.25" customHeight="1" x14ac:dyDescent="0.25"/>
    <row r="563" s="1" customFormat="1" ht="14.25" customHeight="1" x14ac:dyDescent="0.25"/>
    <row r="564" s="1" customFormat="1" ht="14.25" customHeight="1" x14ac:dyDescent="0.25"/>
    <row r="565" s="1" customFormat="1" ht="14.25" customHeight="1" x14ac:dyDescent="0.25"/>
    <row r="566" s="1" customFormat="1" ht="14.25" customHeight="1" x14ac:dyDescent="0.25"/>
    <row r="567" s="1" customFormat="1" ht="14.25" customHeight="1" x14ac:dyDescent="0.25"/>
    <row r="568" s="1" customFormat="1" ht="14.25" customHeight="1" x14ac:dyDescent="0.25"/>
    <row r="569" s="1" customFormat="1" ht="14.25" customHeight="1" x14ac:dyDescent="0.25"/>
    <row r="570" s="1" customFormat="1" ht="14.25" customHeight="1" x14ac:dyDescent="0.25"/>
    <row r="571" s="1" customFormat="1" ht="14.25" customHeight="1" x14ac:dyDescent="0.25"/>
    <row r="572" s="1" customFormat="1" ht="14.25" customHeight="1" x14ac:dyDescent="0.25"/>
    <row r="573" s="1" customFormat="1" ht="14.25" customHeight="1" x14ac:dyDescent="0.25"/>
    <row r="574" s="1" customFormat="1" ht="14.25" customHeight="1" x14ac:dyDescent="0.25"/>
    <row r="575" s="1" customFormat="1" ht="14.25" customHeight="1" x14ac:dyDescent="0.25"/>
    <row r="576" s="1" customFormat="1" ht="14.25" customHeight="1" x14ac:dyDescent="0.25"/>
    <row r="577" s="1" customFormat="1" ht="14.25" customHeight="1" x14ac:dyDescent="0.25"/>
    <row r="578" s="1" customFormat="1" ht="14.25" customHeight="1" x14ac:dyDescent="0.25"/>
    <row r="579" s="1" customFormat="1" ht="14.25" customHeight="1" x14ac:dyDescent="0.25"/>
    <row r="580" s="1" customFormat="1" ht="14.25" customHeight="1" x14ac:dyDescent="0.25"/>
    <row r="581" s="1" customFormat="1" ht="14.25" customHeight="1" x14ac:dyDescent="0.25"/>
    <row r="582" s="1" customFormat="1" ht="14.25" customHeight="1" x14ac:dyDescent="0.25"/>
    <row r="583" s="1" customFormat="1" ht="14.25" customHeight="1" x14ac:dyDescent="0.25"/>
    <row r="584" s="1" customFormat="1" ht="14.25" customHeight="1" x14ac:dyDescent="0.25"/>
    <row r="585" s="1" customFormat="1" ht="14.25" customHeight="1" x14ac:dyDescent="0.25"/>
    <row r="586" s="1" customFormat="1" ht="14.25" customHeight="1" x14ac:dyDescent="0.25"/>
    <row r="587" s="1" customFormat="1" ht="14.25" customHeight="1" x14ac:dyDescent="0.25"/>
    <row r="588" s="1" customFormat="1" ht="14.25" customHeight="1" x14ac:dyDescent="0.25"/>
    <row r="589" s="1" customFormat="1" ht="14.25" customHeight="1" x14ac:dyDescent="0.25"/>
    <row r="590" s="1" customFormat="1" ht="14.25" customHeight="1" x14ac:dyDescent="0.25"/>
    <row r="591" s="1" customFormat="1" ht="14.25" customHeight="1" x14ac:dyDescent="0.25"/>
    <row r="592" s="1" customFormat="1" ht="14.25" customHeight="1" x14ac:dyDescent="0.25"/>
    <row r="593" s="1" customFormat="1" ht="14.25" customHeight="1" x14ac:dyDescent="0.25"/>
    <row r="594" s="1" customFormat="1" ht="14.25" customHeight="1" x14ac:dyDescent="0.25"/>
    <row r="595" s="1" customFormat="1" ht="14.25" customHeight="1" x14ac:dyDescent="0.25"/>
    <row r="596" s="1" customFormat="1" ht="14.25" customHeight="1" x14ac:dyDescent="0.25"/>
    <row r="597" s="1" customFormat="1" ht="14.25" customHeight="1" x14ac:dyDescent="0.25"/>
    <row r="598" s="1" customFormat="1" ht="14.25" customHeight="1" x14ac:dyDescent="0.25"/>
    <row r="599" s="1" customFormat="1" ht="14.25" customHeight="1" x14ac:dyDescent="0.25"/>
    <row r="600" s="1" customFormat="1" ht="14.25" customHeight="1" x14ac:dyDescent="0.25"/>
    <row r="601" s="1" customFormat="1" ht="14.25" customHeight="1" x14ac:dyDescent="0.25"/>
    <row r="602" s="1" customFormat="1" ht="14.25" customHeight="1" x14ac:dyDescent="0.25"/>
    <row r="603" s="1" customFormat="1" ht="14.25" customHeight="1" x14ac:dyDescent="0.25"/>
    <row r="604" s="1" customFormat="1" ht="14.25" customHeight="1" x14ac:dyDescent="0.25"/>
    <row r="605" s="1" customFormat="1" ht="14.25" customHeight="1" x14ac:dyDescent="0.25"/>
    <row r="606" s="1" customFormat="1" ht="14.25" customHeight="1" x14ac:dyDescent="0.25"/>
    <row r="607" s="1" customFormat="1" ht="14.25" customHeight="1" x14ac:dyDescent="0.25"/>
    <row r="608" s="1" customFormat="1" ht="14.25" customHeight="1" x14ac:dyDescent="0.25"/>
    <row r="609" s="1" customFormat="1" ht="14.25" customHeight="1" x14ac:dyDescent="0.25"/>
    <row r="610" s="1" customFormat="1" ht="14.25" customHeight="1" x14ac:dyDescent="0.25"/>
    <row r="611" s="1" customFormat="1" ht="14.25" customHeight="1" x14ac:dyDescent="0.25"/>
    <row r="612" s="1" customFormat="1" ht="14.25" customHeight="1" x14ac:dyDescent="0.25"/>
    <row r="613" s="1" customFormat="1" ht="14.25" customHeight="1" x14ac:dyDescent="0.25"/>
    <row r="614" s="1" customFormat="1" ht="14.25" customHeight="1" x14ac:dyDescent="0.25"/>
    <row r="615" s="1" customFormat="1" ht="14.25" customHeight="1" x14ac:dyDescent="0.25"/>
    <row r="616" s="1" customFormat="1" ht="14.25" customHeight="1" x14ac:dyDescent="0.25"/>
    <row r="617" s="1" customFormat="1" ht="14.25" customHeight="1" x14ac:dyDescent="0.25"/>
    <row r="618" s="1" customFormat="1" ht="14.25" customHeight="1" x14ac:dyDescent="0.25"/>
    <row r="619" s="1" customFormat="1" ht="14.25" customHeight="1" x14ac:dyDescent="0.25"/>
    <row r="620" s="1" customFormat="1" ht="14.25" customHeight="1" x14ac:dyDescent="0.25"/>
    <row r="621" s="1" customFormat="1" ht="14.25" customHeight="1" x14ac:dyDescent="0.25"/>
    <row r="622" s="1" customFormat="1" ht="14.25" customHeight="1" x14ac:dyDescent="0.25"/>
    <row r="623" s="1" customFormat="1" ht="14.25" customHeight="1" x14ac:dyDescent="0.25"/>
    <row r="624" s="1" customFormat="1" ht="14.25" customHeight="1" x14ac:dyDescent="0.25"/>
    <row r="625" s="1" customFormat="1" ht="14.25" customHeight="1" x14ac:dyDescent="0.25"/>
    <row r="626" s="1" customFormat="1" ht="14.25" customHeight="1" x14ac:dyDescent="0.25"/>
    <row r="627" s="1" customFormat="1" ht="14.25" customHeight="1" x14ac:dyDescent="0.25"/>
    <row r="628" s="1" customFormat="1" ht="14.25" customHeight="1" x14ac:dyDescent="0.25"/>
    <row r="629" s="1" customFormat="1" ht="14.25" customHeight="1" x14ac:dyDescent="0.25"/>
    <row r="630" s="1" customFormat="1" ht="14.25" customHeight="1" x14ac:dyDescent="0.25"/>
    <row r="631" s="1" customFormat="1" ht="14.25" customHeight="1" x14ac:dyDescent="0.25"/>
    <row r="632" s="1" customFormat="1" ht="14.25" customHeight="1" x14ac:dyDescent="0.25"/>
    <row r="633" s="1" customFormat="1" ht="14.25" customHeight="1" x14ac:dyDescent="0.25"/>
    <row r="634" s="1" customFormat="1" ht="14.25" customHeight="1" x14ac:dyDescent="0.25"/>
    <row r="635" s="1" customFormat="1" ht="14.25" customHeight="1" x14ac:dyDescent="0.25"/>
    <row r="636" s="1" customFormat="1" ht="14.25" customHeight="1" x14ac:dyDescent="0.25"/>
    <row r="637" s="1" customFormat="1" ht="14.25" customHeight="1" x14ac:dyDescent="0.25"/>
    <row r="638" s="1" customFormat="1" ht="14.25" customHeight="1" x14ac:dyDescent="0.25"/>
    <row r="639" s="1" customFormat="1" ht="14.25" customHeight="1" x14ac:dyDescent="0.25"/>
    <row r="640" s="1" customFormat="1" ht="14.25" customHeight="1" x14ac:dyDescent="0.25"/>
    <row r="641" s="1" customFormat="1" ht="14.25" customHeight="1" x14ac:dyDescent="0.25"/>
    <row r="642" s="1" customFormat="1" ht="14.25" customHeight="1" x14ac:dyDescent="0.25"/>
    <row r="643" s="1" customFormat="1" ht="14.25" customHeight="1" x14ac:dyDescent="0.25"/>
    <row r="644" s="1" customFormat="1" ht="14.25" customHeight="1" x14ac:dyDescent="0.25"/>
    <row r="645" s="1" customFormat="1" ht="14.25" customHeight="1" x14ac:dyDescent="0.25"/>
    <row r="646" s="1" customFormat="1" ht="14.25" customHeight="1" x14ac:dyDescent="0.25"/>
    <row r="647" s="1" customFormat="1" ht="14.25" customHeight="1" x14ac:dyDescent="0.25"/>
    <row r="648" s="1" customFormat="1" ht="14.25" customHeight="1" x14ac:dyDescent="0.25"/>
    <row r="649" s="1" customFormat="1" ht="14.25" customHeight="1" x14ac:dyDescent="0.25"/>
    <row r="650" s="1" customFormat="1" ht="14.25" customHeight="1" x14ac:dyDescent="0.25"/>
    <row r="651" s="1" customFormat="1" ht="14.25" customHeight="1" x14ac:dyDescent="0.25"/>
    <row r="652" s="1" customFormat="1" ht="14.25" customHeight="1" x14ac:dyDescent="0.25"/>
    <row r="653" s="1" customFormat="1" ht="14.25" customHeight="1" x14ac:dyDescent="0.25"/>
    <row r="654" s="1" customFormat="1" ht="14.25" customHeight="1" x14ac:dyDescent="0.25"/>
    <row r="655" s="1" customFormat="1" ht="14.25" customHeight="1" x14ac:dyDescent="0.25"/>
    <row r="656" s="1" customFormat="1" ht="14.25" customHeight="1" x14ac:dyDescent="0.25"/>
    <row r="657" s="1" customFormat="1" ht="14.25" customHeight="1" x14ac:dyDescent="0.25"/>
    <row r="658" s="1" customFormat="1" ht="14.25" customHeight="1" x14ac:dyDescent="0.25"/>
    <row r="659" s="1" customFormat="1" ht="14.25" customHeight="1" x14ac:dyDescent="0.25"/>
    <row r="660" s="1" customFormat="1" ht="14.25" customHeight="1" x14ac:dyDescent="0.25"/>
    <row r="661" s="1" customFormat="1" ht="14.25" customHeight="1" x14ac:dyDescent="0.25"/>
    <row r="662" s="1" customFormat="1" ht="14.25" customHeight="1" x14ac:dyDescent="0.25"/>
    <row r="663" s="1" customFormat="1" ht="14.25" customHeight="1" x14ac:dyDescent="0.25"/>
    <row r="664" s="1" customFormat="1" ht="14.25" customHeight="1" x14ac:dyDescent="0.25"/>
    <row r="665" s="1" customFormat="1" ht="14.25" customHeight="1" x14ac:dyDescent="0.25"/>
    <row r="666" s="1" customFormat="1" ht="14.25" customHeight="1" x14ac:dyDescent="0.25"/>
    <row r="667" s="1" customFormat="1" ht="14.25" customHeight="1" x14ac:dyDescent="0.25"/>
    <row r="668" s="1" customFormat="1" ht="14.25" customHeight="1" x14ac:dyDescent="0.25"/>
    <row r="669" s="1" customFormat="1" ht="14.25" customHeight="1" x14ac:dyDescent="0.25"/>
    <row r="670" s="1" customFormat="1" ht="14.25" customHeight="1" x14ac:dyDescent="0.25"/>
    <row r="671" s="1" customFormat="1" ht="14.25" customHeight="1" x14ac:dyDescent="0.25"/>
    <row r="672" s="1" customFormat="1" ht="14.25" customHeight="1" x14ac:dyDescent="0.25"/>
    <row r="673" s="1" customFormat="1" ht="14.25" customHeight="1" x14ac:dyDescent="0.25"/>
    <row r="674" s="1" customFormat="1" ht="14.25" customHeight="1" x14ac:dyDescent="0.25"/>
    <row r="675" s="1" customFormat="1" ht="14.25" customHeight="1" x14ac:dyDescent="0.25"/>
    <row r="676" s="1" customFormat="1" ht="14.25" customHeight="1" x14ac:dyDescent="0.25"/>
    <row r="677" s="1" customFormat="1" ht="14.25" customHeight="1" x14ac:dyDescent="0.25"/>
    <row r="678" s="1" customFormat="1" ht="14.25" customHeight="1" x14ac:dyDescent="0.25"/>
    <row r="679" s="1" customFormat="1" ht="14.25" customHeight="1" x14ac:dyDescent="0.25"/>
    <row r="680" s="1" customFormat="1" ht="14.25" customHeight="1" x14ac:dyDescent="0.25"/>
    <row r="681" s="1" customFormat="1" ht="14.25" customHeight="1" x14ac:dyDescent="0.25"/>
    <row r="682" s="1" customFormat="1" ht="14.25" customHeight="1" x14ac:dyDescent="0.25"/>
    <row r="683" s="1" customFormat="1" ht="14.25" customHeight="1" x14ac:dyDescent="0.25"/>
    <row r="684" s="1" customFormat="1" ht="14.25" customHeight="1" x14ac:dyDescent="0.25"/>
    <row r="685" s="1" customFormat="1" ht="14.25" customHeight="1" x14ac:dyDescent="0.25"/>
    <row r="686" s="1" customFormat="1" ht="14.25" customHeight="1" x14ac:dyDescent="0.25"/>
    <row r="687" s="1" customFormat="1" ht="14.25" customHeight="1" x14ac:dyDescent="0.25"/>
    <row r="688" s="1" customFormat="1" ht="14.25" customHeight="1" x14ac:dyDescent="0.25"/>
    <row r="689" s="1" customFormat="1" ht="14.25" customHeight="1" x14ac:dyDescent="0.25"/>
    <row r="690" s="1" customFormat="1" ht="14.25" customHeight="1" x14ac:dyDescent="0.25"/>
    <row r="691" s="1" customFormat="1" ht="14.25" customHeight="1" x14ac:dyDescent="0.25"/>
    <row r="692" s="1" customFormat="1" ht="14.25" customHeight="1" x14ac:dyDescent="0.25"/>
    <row r="693" s="1" customFormat="1" ht="14.25" customHeight="1" x14ac:dyDescent="0.25"/>
    <row r="694" s="1" customFormat="1" ht="14.25" customHeight="1" x14ac:dyDescent="0.25"/>
    <row r="695" s="1" customFormat="1" ht="14.25" customHeight="1" x14ac:dyDescent="0.25"/>
    <row r="696" s="1" customFormat="1" ht="14.25" customHeight="1" x14ac:dyDescent="0.25"/>
    <row r="697" s="1" customFormat="1" ht="14.25" customHeight="1" x14ac:dyDescent="0.25"/>
    <row r="698" s="1" customFormat="1" ht="14.25" customHeight="1" x14ac:dyDescent="0.25"/>
    <row r="699" s="1" customFormat="1" ht="14.25" customHeight="1" x14ac:dyDescent="0.25"/>
    <row r="700" s="1" customFormat="1" ht="14.25" customHeight="1" x14ac:dyDescent="0.25"/>
    <row r="701" s="1" customFormat="1" ht="14.25" customHeight="1" x14ac:dyDescent="0.25"/>
    <row r="702" s="1" customFormat="1" ht="14.25" customHeight="1" x14ac:dyDescent="0.25"/>
    <row r="703" s="1" customFormat="1" ht="14.25" customHeight="1" x14ac:dyDescent="0.25"/>
    <row r="704" s="1" customFormat="1" ht="14.25" customHeight="1" x14ac:dyDescent="0.25"/>
    <row r="705" s="1" customFormat="1" ht="14.25" customHeight="1" x14ac:dyDescent="0.25"/>
    <row r="706" s="1" customFormat="1" ht="14.25" customHeight="1" x14ac:dyDescent="0.25"/>
    <row r="707" s="1" customFormat="1" ht="14.25" customHeight="1" x14ac:dyDescent="0.25"/>
    <row r="708" s="1" customFormat="1" ht="14.25" customHeight="1" x14ac:dyDescent="0.25"/>
    <row r="709" s="1" customFormat="1" ht="14.25" customHeight="1" x14ac:dyDescent="0.25"/>
    <row r="710" s="1" customFormat="1" ht="14.25" customHeight="1" x14ac:dyDescent="0.25"/>
    <row r="711" s="1" customFormat="1" ht="14.25" customHeight="1" x14ac:dyDescent="0.25"/>
    <row r="712" s="1" customFormat="1" ht="14.25" customHeight="1" x14ac:dyDescent="0.25"/>
    <row r="713" s="1" customFormat="1" ht="14.25" customHeight="1" x14ac:dyDescent="0.25"/>
    <row r="714" s="1" customFormat="1" ht="14.25" customHeight="1" x14ac:dyDescent="0.25"/>
    <row r="715" s="1" customFormat="1" ht="14.25" customHeight="1" x14ac:dyDescent="0.25"/>
    <row r="716" s="1" customFormat="1" ht="14.25" customHeight="1" x14ac:dyDescent="0.25"/>
    <row r="717" s="1" customFormat="1" ht="14.25" customHeight="1" x14ac:dyDescent="0.25"/>
    <row r="718" s="1" customFormat="1" ht="14.25" customHeight="1" x14ac:dyDescent="0.25"/>
    <row r="719" s="1" customFormat="1" ht="14.25" customHeight="1" x14ac:dyDescent="0.25"/>
    <row r="720" s="1" customFormat="1" ht="14.25" customHeight="1" x14ac:dyDescent="0.25"/>
    <row r="721" s="1" customFormat="1" ht="14.25" customHeight="1" x14ac:dyDescent="0.25"/>
    <row r="722" s="1" customFormat="1" ht="14.25" customHeight="1" x14ac:dyDescent="0.25"/>
    <row r="723" s="1" customFormat="1" ht="14.25" customHeight="1" x14ac:dyDescent="0.25"/>
    <row r="724" s="1" customFormat="1" ht="14.25" customHeight="1" x14ac:dyDescent="0.25"/>
    <row r="725" s="1" customFormat="1" ht="14.25" customHeight="1" x14ac:dyDescent="0.25"/>
    <row r="726" s="1" customFormat="1" ht="14.25" customHeight="1" x14ac:dyDescent="0.25"/>
    <row r="727" s="1" customFormat="1" ht="14.25" customHeight="1" x14ac:dyDescent="0.25"/>
    <row r="728" s="1" customFormat="1" ht="14.25" customHeight="1" x14ac:dyDescent="0.25"/>
    <row r="729" s="1" customFormat="1" ht="14.25" customHeight="1" x14ac:dyDescent="0.25"/>
    <row r="730" s="1" customFormat="1" ht="14.25" customHeight="1" x14ac:dyDescent="0.25"/>
    <row r="731" s="1" customFormat="1" ht="14.25" customHeight="1" x14ac:dyDescent="0.25"/>
    <row r="732" s="1" customFormat="1" ht="14.25" customHeight="1" x14ac:dyDescent="0.25"/>
    <row r="733" s="1" customFormat="1" ht="14.25" customHeight="1" x14ac:dyDescent="0.25"/>
    <row r="734" s="1" customFormat="1" ht="14.25" customHeight="1" x14ac:dyDescent="0.25"/>
    <row r="735" s="1" customFormat="1" ht="14.25" customHeight="1" x14ac:dyDescent="0.25"/>
    <row r="736" s="1" customFormat="1" ht="14.25" customHeight="1" x14ac:dyDescent="0.25"/>
    <row r="737" s="1" customFormat="1" ht="14.25" customHeight="1" x14ac:dyDescent="0.25"/>
    <row r="738" s="1" customFormat="1" ht="14.25" customHeight="1" x14ac:dyDescent="0.25"/>
    <row r="739" s="1" customFormat="1" ht="14.25" customHeight="1" x14ac:dyDescent="0.25"/>
    <row r="740" s="1" customFormat="1" ht="14.25" customHeight="1" x14ac:dyDescent="0.25"/>
    <row r="741" s="1" customFormat="1" ht="14.25" customHeight="1" x14ac:dyDescent="0.25"/>
    <row r="742" s="1" customFormat="1" ht="14.25" customHeight="1" x14ac:dyDescent="0.25"/>
    <row r="743" s="1" customFormat="1" ht="14.25" customHeight="1" x14ac:dyDescent="0.25"/>
    <row r="744" s="1" customFormat="1" ht="14.25" customHeight="1" x14ac:dyDescent="0.25"/>
    <row r="745" s="1" customFormat="1" ht="14.25" customHeight="1" x14ac:dyDescent="0.25"/>
    <row r="746" s="1" customFormat="1" ht="14.25" customHeight="1" x14ac:dyDescent="0.25"/>
    <row r="747" s="1" customFormat="1" ht="14.25" customHeight="1" x14ac:dyDescent="0.25"/>
    <row r="748" s="1" customFormat="1" ht="14.25" customHeight="1" x14ac:dyDescent="0.25"/>
    <row r="749" s="1" customFormat="1" ht="14.25" customHeight="1" x14ac:dyDescent="0.25"/>
    <row r="750" s="1" customFormat="1" ht="14.25" customHeight="1" x14ac:dyDescent="0.25"/>
    <row r="751" s="1" customFormat="1" ht="14.25" customHeight="1" x14ac:dyDescent="0.25"/>
    <row r="752" s="1" customFormat="1" ht="14.25" customHeight="1" x14ac:dyDescent="0.25"/>
    <row r="753" s="1" customFormat="1" ht="14.25" customHeight="1" x14ac:dyDescent="0.25"/>
    <row r="754" s="1" customFormat="1" ht="14.25" customHeight="1" x14ac:dyDescent="0.25"/>
    <row r="755" s="1" customFormat="1" ht="14.25" customHeight="1" x14ac:dyDescent="0.25"/>
    <row r="756" s="1" customFormat="1" ht="14.25" customHeight="1" x14ac:dyDescent="0.25"/>
    <row r="757" s="1" customFormat="1" ht="14.25" customHeight="1" x14ac:dyDescent="0.25"/>
    <row r="758" s="1" customFormat="1" ht="14.25" customHeight="1" x14ac:dyDescent="0.25"/>
    <row r="759" s="1" customFormat="1" ht="14.25" customHeight="1" x14ac:dyDescent="0.25"/>
    <row r="760" s="1" customFormat="1" ht="14.25" customHeight="1" x14ac:dyDescent="0.25"/>
    <row r="761" s="1" customFormat="1" ht="14.25" customHeight="1" x14ac:dyDescent="0.25"/>
    <row r="762" s="1" customFormat="1" ht="14.25" customHeight="1" x14ac:dyDescent="0.25"/>
    <row r="763" s="1" customFormat="1" ht="14.25" customHeight="1" x14ac:dyDescent="0.25"/>
    <row r="764" s="1" customFormat="1" ht="14.25" customHeight="1" x14ac:dyDescent="0.25"/>
    <row r="765" s="1" customFormat="1" ht="14.25" customHeight="1" x14ac:dyDescent="0.25"/>
    <row r="766" s="1" customFormat="1" ht="14.25" customHeight="1" x14ac:dyDescent="0.25"/>
    <row r="767" s="1" customFormat="1" ht="14.25" customHeight="1" x14ac:dyDescent="0.25"/>
    <row r="768" s="1" customFormat="1" ht="14.25" customHeight="1" x14ac:dyDescent="0.25"/>
    <row r="769" s="1" customFormat="1" ht="14.25" customHeight="1" x14ac:dyDescent="0.25"/>
    <row r="770" s="1" customFormat="1" ht="14.25" customHeight="1" x14ac:dyDescent="0.25"/>
    <row r="771" s="1" customFormat="1" ht="14.25" customHeight="1" x14ac:dyDescent="0.25"/>
    <row r="772" s="1" customFormat="1" ht="14.25" customHeight="1" x14ac:dyDescent="0.25"/>
    <row r="773" s="1" customFormat="1" ht="14.25" customHeight="1" x14ac:dyDescent="0.25"/>
    <row r="774" s="1" customFormat="1" ht="14.25" customHeight="1" x14ac:dyDescent="0.25"/>
    <row r="775" s="1" customFormat="1" ht="14.25" customHeight="1" x14ac:dyDescent="0.25"/>
    <row r="776" s="1" customFormat="1" ht="14.25" customHeight="1" x14ac:dyDescent="0.25"/>
    <row r="777" s="1" customFormat="1" ht="14.25" customHeight="1" x14ac:dyDescent="0.25"/>
    <row r="778" s="1" customFormat="1" ht="14.25" customHeight="1" x14ac:dyDescent="0.25"/>
    <row r="779" s="1" customFormat="1" ht="14.25" customHeight="1" x14ac:dyDescent="0.25"/>
    <row r="780" s="1" customFormat="1" ht="14.25" customHeight="1" x14ac:dyDescent="0.25"/>
    <row r="781" s="1" customFormat="1" ht="14.25" customHeight="1" x14ac:dyDescent="0.25"/>
    <row r="782" s="1" customFormat="1" ht="14.25" customHeight="1" x14ac:dyDescent="0.25"/>
    <row r="783" s="1" customFormat="1" ht="14.25" customHeight="1" x14ac:dyDescent="0.25"/>
    <row r="784" s="1" customFormat="1" ht="14.25" customHeight="1" x14ac:dyDescent="0.25"/>
    <row r="785" s="1" customFormat="1" ht="14.25" customHeight="1" x14ac:dyDescent="0.25"/>
    <row r="786" s="1" customFormat="1" ht="14.25" customHeight="1" x14ac:dyDescent="0.25"/>
    <row r="787" s="1" customFormat="1" ht="14.25" customHeight="1" x14ac:dyDescent="0.25"/>
    <row r="788" s="1" customFormat="1" ht="14.25" customHeight="1" x14ac:dyDescent="0.25"/>
    <row r="789" s="1" customFormat="1" ht="14.25" customHeight="1" x14ac:dyDescent="0.25"/>
    <row r="790" s="1" customFormat="1" ht="14.25" customHeight="1" x14ac:dyDescent="0.25"/>
    <row r="791" s="1" customFormat="1" ht="14.25" customHeight="1" x14ac:dyDescent="0.25"/>
    <row r="792" s="1" customFormat="1" ht="14.25" customHeight="1" x14ac:dyDescent="0.25"/>
    <row r="793" s="1" customFormat="1" ht="14.25" customHeight="1" x14ac:dyDescent="0.25"/>
    <row r="794" s="1" customFormat="1" ht="14.25" customHeight="1" x14ac:dyDescent="0.25"/>
    <row r="795" s="1" customFormat="1" ht="14.25" customHeight="1" x14ac:dyDescent="0.25"/>
    <row r="796" s="1" customFormat="1" ht="14.25" customHeight="1" x14ac:dyDescent="0.25"/>
    <row r="797" s="1" customFormat="1" ht="14.25" customHeight="1" x14ac:dyDescent="0.25"/>
    <row r="798" s="1" customFormat="1" ht="14.25" customHeight="1" x14ac:dyDescent="0.25"/>
    <row r="799" s="1" customFormat="1" ht="14.25" customHeight="1" x14ac:dyDescent="0.25"/>
    <row r="800" s="1" customFormat="1" ht="14.25" customHeight="1" x14ac:dyDescent="0.25"/>
    <row r="801" s="1" customFormat="1" ht="14.25" customHeight="1" x14ac:dyDescent="0.25"/>
    <row r="802" s="1" customFormat="1" ht="14.25" customHeight="1" x14ac:dyDescent="0.25"/>
    <row r="803" s="1" customFormat="1" ht="14.25" customHeight="1" x14ac:dyDescent="0.25"/>
    <row r="804" s="1" customFormat="1" ht="14.25" customHeight="1" x14ac:dyDescent="0.25"/>
    <row r="805" s="1" customFormat="1" ht="14.25" customHeight="1" x14ac:dyDescent="0.25"/>
    <row r="806" s="1" customFormat="1" ht="14.25" customHeight="1" x14ac:dyDescent="0.25"/>
    <row r="807" s="1" customFormat="1" ht="14.25" customHeight="1" x14ac:dyDescent="0.25"/>
    <row r="808" s="1" customFormat="1" ht="14.25" customHeight="1" x14ac:dyDescent="0.25"/>
    <row r="809" s="1" customFormat="1" ht="14.25" customHeight="1" x14ac:dyDescent="0.25"/>
    <row r="810" s="1" customFormat="1" ht="14.25" customHeight="1" x14ac:dyDescent="0.25"/>
    <row r="811" s="1" customFormat="1" ht="14.25" customHeight="1" x14ac:dyDescent="0.25"/>
    <row r="812" s="1" customFormat="1" ht="14.25" customHeight="1" x14ac:dyDescent="0.25"/>
    <row r="813" s="1" customFormat="1" ht="14.25" customHeight="1" x14ac:dyDescent="0.25"/>
    <row r="814" s="1" customFormat="1" ht="14.25" customHeight="1" x14ac:dyDescent="0.25"/>
    <row r="815" s="1" customFormat="1" ht="14.25" customHeight="1" x14ac:dyDescent="0.25"/>
    <row r="816" s="1" customFormat="1" ht="14.25" customHeight="1" x14ac:dyDescent="0.25"/>
    <row r="817" s="1" customFormat="1" ht="14.25" customHeight="1" x14ac:dyDescent="0.25"/>
    <row r="818" s="1" customFormat="1" ht="14.25" customHeight="1" x14ac:dyDescent="0.25"/>
    <row r="819" s="1" customFormat="1" ht="14.25" customHeight="1" x14ac:dyDescent="0.25"/>
    <row r="820" s="1" customFormat="1" ht="14.25" customHeight="1" x14ac:dyDescent="0.25"/>
    <row r="821" s="1" customFormat="1" ht="14.25" customHeight="1" x14ac:dyDescent="0.25"/>
    <row r="822" s="1" customFormat="1" ht="14.25" customHeight="1" x14ac:dyDescent="0.25"/>
    <row r="823" s="1" customFormat="1" ht="14.25" customHeight="1" x14ac:dyDescent="0.25"/>
    <row r="824" s="1" customFormat="1" ht="14.25" customHeight="1" x14ac:dyDescent="0.25"/>
    <row r="825" s="1" customFormat="1" ht="14.25" customHeight="1" x14ac:dyDescent="0.25"/>
    <row r="826" s="1" customFormat="1" ht="14.25" customHeight="1" x14ac:dyDescent="0.25"/>
    <row r="827" s="1" customFormat="1" ht="14.25" customHeight="1" x14ac:dyDescent="0.25"/>
    <row r="828" s="1" customFormat="1" ht="14.25" customHeight="1" x14ac:dyDescent="0.25"/>
    <row r="829" s="1" customFormat="1" ht="14.25" customHeight="1" x14ac:dyDescent="0.25"/>
    <row r="830" s="1" customFormat="1" ht="14.25" customHeight="1" x14ac:dyDescent="0.25"/>
    <row r="831" s="1" customFormat="1" ht="14.25" customHeight="1" x14ac:dyDescent="0.25"/>
    <row r="832" s="1" customFormat="1" ht="14.25" customHeight="1" x14ac:dyDescent="0.25"/>
    <row r="833" s="1" customFormat="1" ht="14.25" customHeight="1" x14ac:dyDescent="0.25"/>
    <row r="834" s="1" customFormat="1" ht="14.25" customHeight="1" x14ac:dyDescent="0.25"/>
    <row r="835" s="1" customFormat="1" ht="14.25" customHeight="1" x14ac:dyDescent="0.25"/>
    <row r="836" s="1" customFormat="1" ht="14.25" customHeight="1" x14ac:dyDescent="0.25"/>
    <row r="837" s="1" customFormat="1" ht="14.25" customHeight="1" x14ac:dyDescent="0.25"/>
    <row r="838" s="1" customFormat="1" ht="14.25" customHeight="1" x14ac:dyDescent="0.25"/>
    <row r="839" s="1" customFormat="1" ht="14.25" customHeight="1" x14ac:dyDescent="0.25"/>
    <row r="840" s="1" customFormat="1" ht="14.25" customHeight="1" x14ac:dyDescent="0.25"/>
    <row r="841" s="1" customFormat="1" ht="14.25" customHeight="1" x14ac:dyDescent="0.25"/>
    <row r="842" s="1" customFormat="1" ht="14.25" customHeight="1" x14ac:dyDescent="0.25"/>
    <row r="843" s="1" customFormat="1" ht="14.25" customHeight="1" x14ac:dyDescent="0.25"/>
    <row r="844" s="1" customFormat="1" ht="14.25" customHeight="1" x14ac:dyDescent="0.25"/>
    <row r="845" s="1" customFormat="1" ht="14.25" customHeight="1" x14ac:dyDescent="0.25"/>
    <row r="846" s="1" customFormat="1" ht="14.25" customHeight="1" x14ac:dyDescent="0.25"/>
    <row r="847" s="1" customFormat="1" ht="14.25" customHeight="1" x14ac:dyDescent="0.25"/>
    <row r="848" s="1" customFormat="1" ht="14.25" customHeight="1" x14ac:dyDescent="0.25"/>
    <row r="849" s="1" customFormat="1" ht="14.25" customHeight="1" x14ac:dyDescent="0.25"/>
    <row r="850" s="1" customFormat="1" ht="14.25" customHeight="1" x14ac:dyDescent="0.25"/>
    <row r="851" s="1" customFormat="1" ht="14.25" customHeight="1" x14ac:dyDescent="0.25"/>
    <row r="852" s="1" customFormat="1" ht="14.25" customHeight="1" x14ac:dyDescent="0.25"/>
    <row r="853" s="1" customFormat="1" ht="14.25" customHeight="1" x14ac:dyDescent="0.25"/>
    <row r="854" s="1" customFormat="1" ht="14.25" customHeight="1" x14ac:dyDescent="0.25"/>
    <row r="855" s="1" customFormat="1" ht="14.25" customHeight="1" x14ac:dyDescent="0.25"/>
    <row r="856" s="1" customFormat="1" ht="14.25" customHeight="1" x14ac:dyDescent="0.25"/>
    <row r="857" s="1" customFormat="1" ht="14.25" customHeight="1" x14ac:dyDescent="0.25"/>
    <row r="858" s="1" customFormat="1" ht="14.25" customHeight="1" x14ac:dyDescent="0.25"/>
    <row r="859" s="1" customFormat="1" ht="14.25" customHeight="1" x14ac:dyDescent="0.25"/>
    <row r="860" s="1" customFormat="1" ht="14.25" customHeight="1" x14ac:dyDescent="0.25"/>
    <row r="861" s="1" customFormat="1" ht="14.25" customHeight="1" x14ac:dyDescent="0.25"/>
    <row r="862" s="1" customFormat="1" ht="14.25" customHeight="1" x14ac:dyDescent="0.25"/>
    <row r="863" s="1" customFormat="1" ht="14.25" customHeight="1" x14ac:dyDescent="0.25"/>
    <row r="864" s="1" customFormat="1" ht="14.25" customHeight="1" x14ac:dyDescent="0.25"/>
    <row r="865" s="1" customFormat="1" ht="14.25" customHeight="1" x14ac:dyDescent="0.25"/>
    <row r="866" s="1" customFormat="1" ht="14.25" customHeight="1" x14ac:dyDescent="0.25"/>
    <row r="867" s="1" customFormat="1" ht="14.25" customHeight="1" x14ac:dyDescent="0.25"/>
    <row r="868" s="1" customFormat="1" ht="14.25" customHeight="1" x14ac:dyDescent="0.25"/>
    <row r="869" s="1" customFormat="1" ht="14.25" customHeight="1" x14ac:dyDescent="0.25"/>
    <row r="870" s="1" customFormat="1" ht="14.25" customHeight="1" x14ac:dyDescent="0.25"/>
    <row r="871" s="1" customFormat="1" ht="14.25" customHeight="1" x14ac:dyDescent="0.25"/>
    <row r="872" s="1" customFormat="1" ht="14.25" customHeight="1" x14ac:dyDescent="0.25"/>
    <row r="873" s="1" customFormat="1" ht="14.25" customHeight="1" x14ac:dyDescent="0.25"/>
    <row r="874" s="1" customFormat="1" ht="14.25" customHeight="1" x14ac:dyDescent="0.25"/>
    <row r="875" s="1" customFormat="1" ht="14.25" customHeight="1" x14ac:dyDescent="0.25"/>
    <row r="876" s="1" customFormat="1" ht="14.25" customHeight="1" x14ac:dyDescent="0.25"/>
    <row r="877" s="1" customFormat="1" ht="14.25" customHeight="1" x14ac:dyDescent="0.25"/>
    <row r="878" s="1" customFormat="1" ht="14.25" customHeight="1" x14ac:dyDescent="0.25"/>
    <row r="879" s="1" customFormat="1" ht="14.25" customHeight="1" x14ac:dyDescent="0.25"/>
    <row r="880" s="1" customFormat="1" ht="14.25" customHeight="1" x14ac:dyDescent="0.25"/>
    <row r="881" s="1" customFormat="1" ht="14.25" customHeight="1" x14ac:dyDescent="0.25"/>
    <row r="882" s="1" customFormat="1" ht="14.25" customHeight="1" x14ac:dyDescent="0.25"/>
    <row r="883" s="1" customFormat="1" ht="14.25" customHeight="1" x14ac:dyDescent="0.25"/>
    <row r="884" s="1" customFormat="1" ht="14.25" customHeight="1" x14ac:dyDescent="0.25"/>
    <row r="885" s="1" customFormat="1" ht="14.25" customHeight="1" x14ac:dyDescent="0.25"/>
    <row r="886" s="1" customFormat="1" ht="14.25" customHeight="1" x14ac:dyDescent="0.25"/>
    <row r="887" s="1" customFormat="1" ht="14.25" customHeight="1" x14ac:dyDescent="0.25"/>
    <row r="888" s="1" customFormat="1" ht="14.25" customHeight="1" x14ac:dyDescent="0.25"/>
    <row r="889" s="1" customFormat="1" ht="14.25" customHeight="1" x14ac:dyDescent="0.25"/>
    <row r="890" s="1" customFormat="1" ht="14.25" customHeight="1" x14ac:dyDescent="0.25"/>
    <row r="891" s="1" customFormat="1" ht="14.25" customHeight="1" x14ac:dyDescent="0.25"/>
    <row r="892" s="1" customFormat="1" ht="14.25" customHeight="1" x14ac:dyDescent="0.25"/>
    <row r="893" s="1" customFormat="1" ht="14.25" customHeight="1" x14ac:dyDescent="0.25"/>
    <row r="894" s="1" customFormat="1" ht="14.25" customHeight="1" x14ac:dyDescent="0.25"/>
    <row r="895" s="1" customFormat="1" ht="14.25" customHeight="1" x14ac:dyDescent="0.25"/>
    <row r="896" s="1" customFormat="1" ht="14.25" customHeight="1" x14ac:dyDescent="0.25"/>
    <row r="897" s="1" customFormat="1" ht="14.25" customHeight="1" x14ac:dyDescent="0.25"/>
    <row r="898" s="1" customFormat="1" ht="14.25" customHeight="1" x14ac:dyDescent="0.25"/>
    <row r="899" s="1" customFormat="1" ht="14.25" customHeight="1" x14ac:dyDescent="0.25"/>
    <row r="900" s="1" customFormat="1" ht="14.25" customHeight="1" x14ac:dyDescent="0.25"/>
    <row r="901" s="1" customFormat="1" ht="14.25" customHeight="1" x14ac:dyDescent="0.25"/>
    <row r="902" s="1" customFormat="1" ht="14.25" customHeight="1" x14ac:dyDescent="0.25"/>
    <row r="903" s="1" customFormat="1" ht="14.25" customHeight="1" x14ac:dyDescent="0.25"/>
    <row r="904" s="1" customFormat="1" ht="14.25" customHeight="1" x14ac:dyDescent="0.25"/>
    <row r="905" s="1" customFormat="1" ht="14.25" customHeight="1" x14ac:dyDescent="0.25"/>
    <row r="906" s="1" customFormat="1" ht="14.25" customHeight="1" x14ac:dyDescent="0.25"/>
    <row r="907" s="1" customFormat="1" ht="14.25" customHeight="1" x14ac:dyDescent="0.25"/>
    <row r="908" s="1" customFormat="1" ht="14.25" customHeight="1" x14ac:dyDescent="0.25"/>
    <row r="909" s="1" customFormat="1" ht="14.25" customHeight="1" x14ac:dyDescent="0.25"/>
    <row r="910" s="1" customFormat="1" ht="14.25" customHeight="1" x14ac:dyDescent="0.25"/>
    <row r="911" s="1" customFormat="1" ht="14.25" customHeight="1" x14ac:dyDescent="0.25"/>
    <row r="912" s="1" customFormat="1" ht="14.25" customHeight="1" x14ac:dyDescent="0.25"/>
    <row r="913" s="1" customFormat="1" ht="14.25" customHeight="1" x14ac:dyDescent="0.25"/>
    <row r="914" s="1" customFormat="1" ht="14.25" customHeight="1" x14ac:dyDescent="0.25"/>
    <row r="915" s="1" customFormat="1" ht="14.25" customHeight="1" x14ac:dyDescent="0.25"/>
    <row r="916" s="1" customFormat="1" ht="14.25" customHeight="1" x14ac:dyDescent="0.25"/>
    <row r="917" s="1" customFormat="1" ht="14.25" customHeight="1" x14ac:dyDescent="0.25"/>
    <row r="918" s="1" customFormat="1" ht="14.25" customHeight="1" x14ac:dyDescent="0.25"/>
    <row r="919" s="1" customFormat="1" ht="14.25" customHeight="1" x14ac:dyDescent="0.25"/>
    <row r="920" s="1" customFormat="1" ht="14.25" customHeight="1" x14ac:dyDescent="0.25"/>
    <row r="921" s="1" customFormat="1" ht="14.25" customHeight="1" x14ac:dyDescent="0.25"/>
    <row r="922" s="1" customFormat="1" ht="14.25" customHeight="1" x14ac:dyDescent="0.25"/>
    <row r="923" s="1" customFormat="1" ht="14.25" customHeight="1" x14ac:dyDescent="0.25"/>
    <row r="924" s="1" customFormat="1" ht="14.25" customHeight="1" x14ac:dyDescent="0.25"/>
    <row r="925" s="1" customFormat="1" ht="14.25" customHeight="1" x14ac:dyDescent="0.25"/>
    <row r="926" s="1" customFormat="1" ht="14.25" customHeight="1" x14ac:dyDescent="0.25"/>
    <row r="927" s="1" customFormat="1" ht="14.25" customHeight="1" x14ac:dyDescent="0.25"/>
    <row r="928" s="1" customFormat="1" ht="14.25" customHeight="1" x14ac:dyDescent="0.25"/>
    <row r="929" s="1" customFormat="1" ht="14.25" customHeight="1" x14ac:dyDescent="0.25"/>
    <row r="930" s="1" customFormat="1" ht="14.25" customHeight="1" x14ac:dyDescent="0.25"/>
    <row r="931" s="1" customFormat="1" ht="14.25" customHeight="1" x14ac:dyDescent="0.25"/>
    <row r="932" s="1" customFormat="1" ht="14.25" customHeight="1" x14ac:dyDescent="0.25"/>
    <row r="933" s="1" customFormat="1" ht="14.25" customHeight="1" x14ac:dyDescent="0.25"/>
    <row r="934" s="1" customFormat="1" ht="14.25" customHeight="1" x14ac:dyDescent="0.25"/>
    <row r="935" s="1" customFormat="1" ht="14.25" customHeight="1" x14ac:dyDescent="0.25"/>
    <row r="936" s="1" customFormat="1" ht="14.25" customHeight="1" x14ac:dyDescent="0.25"/>
    <row r="937" s="1" customFormat="1" ht="14.25" customHeight="1" x14ac:dyDescent="0.25"/>
    <row r="938" s="1" customFormat="1" ht="14.25" customHeight="1" x14ac:dyDescent="0.25"/>
    <row r="939" s="1" customFormat="1" ht="14.25" customHeight="1" x14ac:dyDescent="0.25"/>
    <row r="940" s="1" customFormat="1" ht="14.25" customHeight="1" x14ac:dyDescent="0.25"/>
    <row r="941" s="1" customFormat="1" ht="14.25" customHeight="1" x14ac:dyDescent="0.25"/>
    <row r="942" s="1" customFormat="1" ht="14.25" customHeight="1" x14ac:dyDescent="0.25"/>
    <row r="943" s="1" customFormat="1" ht="14.25" customHeight="1" x14ac:dyDescent="0.25"/>
    <row r="944" s="1" customFormat="1" ht="14.25" customHeight="1" x14ac:dyDescent="0.25"/>
    <row r="945" s="1" customFormat="1" ht="14.25" customHeight="1" x14ac:dyDescent="0.25"/>
    <row r="946" s="1" customFormat="1" ht="14.25" customHeight="1" x14ac:dyDescent="0.25"/>
    <row r="947" s="1" customFormat="1" ht="14.25" customHeight="1" x14ac:dyDescent="0.25"/>
    <row r="948" s="1" customFormat="1" ht="14.25" customHeight="1" x14ac:dyDescent="0.25"/>
    <row r="949" s="1" customFormat="1" ht="14.25" customHeight="1" x14ac:dyDescent="0.25"/>
    <row r="950" s="1" customFormat="1" ht="14.25" customHeight="1" x14ac:dyDescent="0.25"/>
    <row r="951" s="1" customFormat="1" ht="14.25" customHeight="1" x14ac:dyDescent="0.25"/>
    <row r="952" s="1" customFormat="1" ht="14.25" customHeight="1" x14ac:dyDescent="0.25"/>
    <row r="953" s="1" customFormat="1" ht="14.25" customHeight="1" x14ac:dyDescent="0.25"/>
    <row r="954" s="1" customFormat="1" ht="14.25" customHeight="1" x14ac:dyDescent="0.25"/>
    <row r="955" s="1" customFormat="1" ht="14.25" customHeight="1" x14ac:dyDescent="0.25"/>
    <row r="956" s="1" customFormat="1" ht="14.25" customHeight="1" x14ac:dyDescent="0.25"/>
    <row r="957" s="1" customFormat="1" ht="14.25" customHeight="1" x14ac:dyDescent="0.25"/>
    <row r="958" s="1" customFormat="1" ht="14.25" customHeight="1" x14ac:dyDescent="0.25"/>
    <row r="959" s="1" customFormat="1" ht="14.25" customHeight="1" x14ac:dyDescent="0.25"/>
    <row r="960" s="1" customFormat="1" ht="14.25" customHeight="1" x14ac:dyDescent="0.25"/>
    <row r="961" s="1" customFormat="1" ht="14.25" customHeight="1" x14ac:dyDescent="0.25"/>
    <row r="962" s="1" customFormat="1" ht="14.25" customHeight="1" x14ac:dyDescent="0.25"/>
    <row r="963" s="1" customFormat="1" ht="14.25" customHeight="1" x14ac:dyDescent="0.25"/>
    <row r="964" s="1" customFormat="1" ht="14.25" customHeight="1" x14ac:dyDescent="0.25"/>
    <row r="965" s="1" customFormat="1" ht="14.25" customHeight="1" x14ac:dyDescent="0.25"/>
    <row r="966" s="1" customFormat="1" ht="14.25" customHeight="1" x14ac:dyDescent="0.25"/>
    <row r="967" s="1" customFormat="1" ht="14.25" customHeight="1" x14ac:dyDescent="0.25"/>
    <row r="968" s="1" customFormat="1" ht="14.25" customHeight="1" x14ac:dyDescent="0.25"/>
    <row r="969" s="1" customFormat="1" ht="14.25" customHeight="1" x14ac:dyDescent="0.25"/>
    <row r="970" s="1" customFormat="1" ht="14.25" customHeight="1" x14ac:dyDescent="0.25"/>
    <row r="971" s="1" customFormat="1" ht="14.25" customHeight="1" x14ac:dyDescent="0.25"/>
    <row r="972" s="1" customFormat="1" ht="14.25" customHeight="1" x14ac:dyDescent="0.25"/>
    <row r="973" s="1" customFormat="1" ht="14.25" customHeight="1" x14ac:dyDescent="0.25"/>
    <row r="974" s="1" customFormat="1" ht="14.25" customHeight="1" x14ac:dyDescent="0.25"/>
    <row r="975" s="1" customFormat="1" ht="14.25" customHeight="1" x14ac:dyDescent="0.25"/>
    <row r="976" s="1" customFormat="1" ht="14.25" customHeight="1" x14ac:dyDescent="0.25"/>
    <row r="977" s="1" customFormat="1" ht="14.25" customHeight="1" x14ac:dyDescent="0.25"/>
    <row r="978" s="1" customFormat="1" ht="14.25" customHeight="1" x14ac:dyDescent="0.25"/>
    <row r="979" s="1" customFormat="1" ht="14.25" customHeight="1" x14ac:dyDescent="0.25"/>
    <row r="980" s="1" customFormat="1" ht="14.25" customHeight="1" x14ac:dyDescent="0.25"/>
    <row r="981" s="1" customFormat="1" ht="14.25" customHeight="1" x14ac:dyDescent="0.25"/>
    <row r="982" s="1" customFormat="1" ht="14.25" customHeight="1" x14ac:dyDescent="0.25"/>
    <row r="983" s="1" customFormat="1" ht="14.25" customHeight="1" x14ac:dyDescent="0.25"/>
    <row r="984" s="1" customFormat="1" ht="14.25" customHeight="1" x14ac:dyDescent="0.25"/>
    <row r="985" s="1" customFormat="1" ht="14.25" customHeight="1" x14ac:dyDescent="0.25"/>
    <row r="986" s="1" customFormat="1" ht="14.25" customHeight="1" x14ac:dyDescent="0.25"/>
    <row r="987" s="1" customFormat="1" ht="14.25" customHeight="1" x14ac:dyDescent="0.25"/>
    <row r="988" s="1" customFormat="1" ht="14.25" customHeight="1" x14ac:dyDescent="0.25"/>
    <row r="989" s="1" customFormat="1" ht="14.25" customHeight="1" x14ac:dyDescent="0.25"/>
    <row r="990" s="1" customFormat="1" ht="14.25" customHeight="1" x14ac:dyDescent="0.25"/>
    <row r="991" s="1" customFormat="1" ht="14.25" customHeight="1" x14ac:dyDescent="0.25"/>
    <row r="992" s="1" customFormat="1" ht="14.25" customHeight="1" x14ac:dyDescent="0.25"/>
    <row r="993" s="1" customFormat="1" ht="14.25" customHeight="1" x14ac:dyDescent="0.25"/>
    <row r="994" s="1" customFormat="1" ht="14.25" customHeight="1" x14ac:dyDescent="0.25"/>
    <row r="995" s="1" customFormat="1" ht="14.25" customHeight="1" x14ac:dyDescent="0.25"/>
    <row r="996" s="1" customFormat="1" ht="14.25" customHeight="1" x14ac:dyDescent="0.25"/>
    <row r="997" s="1" customFormat="1" ht="14.25" customHeight="1" x14ac:dyDescent="0.25"/>
    <row r="998" s="1" customFormat="1" ht="14.25" customHeight="1" x14ac:dyDescent="0.25"/>
    <row r="999" s="1" customFormat="1" ht="14.25" customHeight="1" x14ac:dyDescent="0.25"/>
    <row r="1000" s="1" customFormat="1" ht="14.25" customHeight="1" x14ac:dyDescent="0.25"/>
  </sheetData>
  <mergeCells count="4">
    <mergeCell ref="B9:C9"/>
    <mergeCell ref="E9:K9"/>
    <mergeCell ref="G11:K11"/>
    <mergeCell ref="E13:E1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000"/>
  <sheetViews>
    <sheetView showGridLines="0" tabSelected="1" workbookViewId="0">
      <selection activeCell="I16" sqref="I16"/>
    </sheetView>
  </sheetViews>
  <sheetFormatPr defaultColWidth="14.42578125" defaultRowHeight="15" customHeight="1" x14ac:dyDescent="0.25"/>
  <cols>
    <col min="1" max="1" width="8.85546875" style="1" customWidth="1"/>
    <col min="2" max="2" width="37.140625" style="1" customWidth="1"/>
    <col min="3" max="3" width="17.7109375" style="1" customWidth="1"/>
    <col min="4" max="4" width="8.85546875" style="1" customWidth="1"/>
    <col min="5" max="5" width="25.7109375" style="1" customWidth="1"/>
    <col min="6" max="7" width="11.7109375" style="1" customWidth="1"/>
    <col min="8" max="26" width="8.85546875" style="1" customWidth="1"/>
    <col min="27" max="16384" width="14.42578125" style="1"/>
  </cols>
  <sheetData>
    <row r="1" spans="2:7" ht="17.100000000000001" customHeight="1" x14ac:dyDescent="0.25"/>
    <row r="2" spans="2:7" ht="17.100000000000001" customHeight="1" x14ac:dyDescent="0.25">
      <c r="B2" s="65" t="s">
        <v>49</v>
      </c>
      <c r="C2" s="66"/>
    </row>
    <row r="3" spans="2:7" ht="17.100000000000001" customHeight="1" x14ac:dyDescent="0.25">
      <c r="B3" s="15" t="s">
        <v>50</v>
      </c>
      <c r="C3" s="24">
        <f>'Balance Sheet'!E29</f>
        <v>538337</v>
      </c>
    </row>
    <row r="4" spans="2:7" ht="17.100000000000001" customHeight="1" x14ac:dyDescent="0.25">
      <c r="B4" s="15" t="s">
        <v>51</v>
      </c>
      <c r="C4" s="24">
        <f>'Balance Sheet'!E13+'Balance Sheet'!E20</f>
        <v>125617</v>
      </c>
    </row>
    <row r="5" spans="2:7" ht="17.100000000000001" customHeight="1" x14ac:dyDescent="0.25">
      <c r="B5" s="15"/>
      <c r="C5" s="15"/>
    </row>
    <row r="6" spans="2:7" ht="17.100000000000001" customHeight="1" x14ac:dyDescent="0.25">
      <c r="B6" s="15" t="s">
        <v>52</v>
      </c>
      <c r="C6" s="32">
        <f>-'Income Statement'!E11/WACC!F9</f>
        <v>3.9304677344731101E-2</v>
      </c>
      <c r="E6" s="19" t="s">
        <v>52</v>
      </c>
      <c r="F6" s="15">
        <v>2023</v>
      </c>
      <c r="G6" s="15">
        <v>2024</v>
      </c>
    </row>
    <row r="7" spans="2:7" ht="17.100000000000001" customHeight="1" x14ac:dyDescent="0.25">
      <c r="B7" s="15" t="s">
        <v>53</v>
      </c>
      <c r="C7" s="32">
        <f>-'Income Statement'!E13/'Income Statement'!E12</f>
        <v>0.18117892229830307</v>
      </c>
      <c r="E7" s="15" t="s">
        <v>136</v>
      </c>
      <c r="F7" s="24">
        <f>'Balance Sheet'!D13+'Balance Sheet'!D20</f>
        <v>101328</v>
      </c>
      <c r="G7" s="24">
        <f>'Balance Sheet'!E13+'Balance Sheet'!E20</f>
        <v>125617</v>
      </c>
    </row>
    <row r="8" spans="2:7" ht="17.100000000000001" customHeight="1" x14ac:dyDescent="0.25">
      <c r="B8" s="15" t="s">
        <v>54</v>
      </c>
      <c r="C8" s="32">
        <f>C4/(C4+C3)</f>
        <v>0.18919533582145751</v>
      </c>
      <c r="E8" s="15"/>
      <c r="F8" s="15"/>
      <c r="G8" s="15"/>
    </row>
    <row r="9" spans="2:7" ht="17.100000000000001" customHeight="1" x14ac:dyDescent="0.25">
      <c r="B9" s="25" t="s">
        <v>55</v>
      </c>
      <c r="C9" s="38">
        <f>C6*(1-C7)</f>
        <v>3.218349826213019E-2</v>
      </c>
      <c r="E9" s="15" t="s">
        <v>137</v>
      </c>
      <c r="F9" s="71">
        <f>(F7+G7)/2</f>
        <v>113472.5</v>
      </c>
      <c r="G9" s="72"/>
    </row>
    <row r="10" spans="2:7" ht="17.100000000000001" customHeight="1" x14ac:dyDescent="0.25">
      <c r="B10" s="5"/>
      <c r="C10" s="13"/>
      <c r="E10" s="62"/>
      <c r="F10" s="62"/>
      <c r="G10" s="62"/>
    </row>
    <row r="11" spans="2:7" ht="17.100000000000001" customHeight="1" x14ac:dyDescent="0.25">
      <c r="B11" s="15" t="s">
        <v>138</v>
      </c>
      <c r="C11" s="37">
        <v>3.5000000000000003E-2</v>
      </c>
      <c r="E11" s="62"/>
      <c r="F11" s="62"/>
      <c r="G11" s="62"/>
    </row>
    <row r="12" spans="2:7" ht="17.100000000000001" customHeight="1" x14ac:dyDescent="0.25">
      <c r="B12" s="15" t="s">
        <v>56</v>
      </c>
      <c r="C12" s="37">
        <f>C11+C13</f>
        <v>0.09</v>
      </c>
      <c r="E12" s="62"/>
      <c r="F12" s="63"/>
      <c r="G12" s="62"/>
    </row>
    <row r="13" spans="2:7" ht="17.100000000000001" customHeight="1" x14ac:dyDescent="0.25">
      <c r="B13" s="15" t="s">
        <v>57</v>
      </c>
      <c r="C13" s="37">
        <v>5.5E-2</v>
      </c>
      <c r="E13" s="62"/>
      <c r="F13" s="62"/>
      <c r="G13" s="62"/>
    </row>
    <row r="14" spans="2:7" ht="17.100000000000001" customHeight="1" x14ac:dyDescent="0.25">
      <c r="B14" s="15" t="s">
        <v>58</v>
      </c>
      <c r="C14" s="39">
        <v>0.7</v>
      </c>
    </row>
    <row r="15" spans="2:7" ht="17.100000000000001" customHeight="1" x14ac:dyDescent="0.25">
      <c r="B15" s="15" t="s">
        <v>59</v>
      </c>
      <c r="C15" s="32">
        <f>C3/(C3+C4)</f>
        <v>0.81080466417854247</v>
      </c>
    </row>
    <row r="16" spans="2:7" ht="17.100000000000001" customHeight="1" x14ac:dyDescent="0.25">
      <c r="B16" s="25" t="s">
        <v>60</v>
      </c>
      <c r="C16" s="38">
        <f>C11+C14*(C13)</f>
        <v>7.350000000000001E-2</v>
      </c>
    </row>
    <row r="17" spans="2:3" ht="17.100000000000001" customHeight="1" x14ac:dyDescent="0.25"/>
    <row r="18" spans="2:3" ht="17.100000000000001" customHeight="1" x14ac:dyDescent="0.25">
      <c r="B18" s="6" t="s">
        <v>39</v>
      </c>
      <c r="C18" s="14">
        <f>C9*C8+C16*C15</f>
        <v>6.5683110578735895E-2</v>
      </c>
    </row>
    <row r="19" spans="2:3" ht="17.100000000000001" customHeight="1" x14ac:dyDescent="0.25"/>
    <row r="20" spans="2:3" ht="17.100000000000001" customHeight="1" x14ac:dyDescent="0.25">
      <c r="B20" s="5"/>
    </row>
    <row r="21" spans="2:3" ht="17.100000000000001" customHeight="1" x14ac:dyDescent="0.25"/>
    <row r="22" spans="2:3" ht="17.100000000000001" customHeight="1" x14ac:dyDescent="0.25"/>
    <row r="23" spans="2:3" ht="17.100000000000001" customHeight="1" x14ac:dyDescent="0.25"/>
    <row r="24" spans="2:3" ht="17.100000000000001" customHeight="1" x14ac:dyDescent="0.25"/>
    <row r="25" spans="2:3" ht="17.100000000000001" customHeight="1" x14ac:dyDescent="0.25"/>
    <row r="26" spans="2:3" ht="17.100000000000001" customHeight="1" x14ac:dyDescent="0.25"/>
    <row r="27" spans="2:3" ht="17.100000000000001" customHeight="1" x14ac:dyDescent="0.25"/>
    <row r="28" spans="2:3" ht="17.100000000000001" customHeight="1" x14ac:dyDescent="0.25"/>
    <row r="29" spans="2:3" ht="17.100000000000001" customHeight="1" x14ac:dyDescent="0.25"/>
    <row r="30" spans="2:3" ht="17.100000000000001" customHeight="1" x14ac:dyDescent="0.25"/>
    <row r="31" spans="2:3" ht="17.100000000000001" customHeight="1" x14ac:dyDescent="0.25"/>
    <row r="32" spans="2:3" ht="17.100000000000001" customHeight="1" x14ac:dyDescent="0.25"/>
    <row r="33" s="1" customFormat="1" ht="17.100000000000001" customHeight="1" x14ac:dyDescent="0.25"/>
    <row r="34" s="1" customFormat="1" ht="17.100000000000001" customHeight="1" x14ac:dyDescent="0.25"/>
    <row r="35" s="1" customFormat="1" ht="17.100000000000001" customHeight="1" x14ac:dyDescent="0.25"/>
    <row r="36" s="1" customFormat="1" ht="17.100000000000001" customHeight="1" x14ac:dyDescent="0.25"/>
    <row r="37" s="1" customFormat="1" ht="17.100000000000001" customHeight="1" x14ac:dyDescent="0.25"/>
    <row r="38" s="1" customFormat="1" ht="17.100000000000001" customHeight="1" x14ac:dyDescent="0.25"/>
    <row r="39" s="1" customFormat="1" ht="17.100000000000001" customHeight="1" x14ac:dyDescent="0.25"/>
    <row r="40" s="1" customFormat="1" ht="17.100000000000001" customHeight="1" x14ac:dyDescent="0.25"/>
    <row r="41" s="1" customFormat="1" ht="14.25" customHeight="1" x14ac:dyDescent="0.25"/>
    <row r="42" s="1" customFormat="1" ht="14.25" customHeight="1" x14ac:dyDescent="0.25"/>
    <row r="43" s="1" customFormat="1" ht="14.25" customHeight="1" x14ac:dyDescent="0.25"/>
    <row r="44" s="1" customFormat="1" ht="14.25" customHeight="1" x14ac:dyDescent="0.25"/>
    <row r="45" s="1" customFormat="1" ht="14.25" customHeight="1" x14ac:dyDescent="0.25"/>
    <row r="46" s="1" customFormat="1" ht="14.25" customHeight="1" x14ac:dyDescent="0.25"/>
    <row r="47" s="1" customFormat="1" ht="14.25" customHeight="1" x14ac:dyDescent="0.25"/>
    <row r="48" s="1" customFormat="1" ht="14.25" customHeight="1" x14ac:dyDescent="0.25"/>
    <row r="49" s="1" customFormat="1" ht="14.25" customHeight="1" x14ac:dyDescent="0.25"/>
    <row r="50" s="1" customFormat="1" ht="14.25" customHeight="1" x14ac:dyDescent="0.25"/>
    <row r="51" s="1" customFormat="1" ht="14.25" customHeight="1" x14ac:dyDescent="0.25"/>
    <row r="52" s="1" customFormat="1" ht="14.25" customHeight="1" x14ac:dyDescent="0.25"/>
    <row r="53" s="1" customFormat="1" ht="14.25" customHeight="1" x14ac:dyDescent="0.25"/>
    <row r="54" s="1" customFormat="1" ht="14.25" customHeight="1" x14ac:dyDescent="0.25"/>
    <row r="55" s="1" customFormat="1" ht="14.25" customHeight="1" x14ac:dyDescent="0.25"/>
    <row r="56" s="1" customFormat="1" ht="14.25" customHeight="1" x14ac:dyDescent="0.25"/>
    <row r="57" s="1" customFormat="1" ht="14.25" customHeight="1" x14ac:dyDescent="0.25"/>
    <row r="58" s="1" customFormat="1" ht="14.25" customHeight="1" x14ac:dyDescent="0.25"/>
    <row r="59" s="1" customFormat="1" ht="14.25" customHeight="1" x14ac:dyDescent="0.25"/>
    <row r="60" s="1" customFormat="1" ht="14.25" customHeight="1" x14ac:dyDescent="0.25"/>
    <row r="61" s="1" customFormat="1" ht="14.25" customHeight="1" x14ac:dyDescent="0.25"/>
    <row r="62" s="1" customFormat="1" ht="14.25" customHeight="1" x14ac:dyDescent="0.25"/>
    <row r="63" s="1" customFormat="1" ht="14.25" customHeight="1" x14ac:dyDescent="0.25"/>
    <row r="64" s="1" customFormat="1" ht="14.25" customHeight="1" x14ac:dyDescent="0.25"/>
    <row r="65" s="1" customFormat="1" ht="14.25" customHeight="1" x14ac:dyDescent="0.25"/>
    <row r="66" s="1" customFormat="1" ht="14.25" customHeight="1" x14ac:dyDescent="0.25"/>
    <row r="67" s="1" customFormat="1" ht="14.25" customHeight="1" x14ac:dyDescent="0.25"/>
    <row r="68" s="1" customFormat="1" ht="14.25" customHeight="1" x14ac:dyDescent="0.25"/>
    <row r="69" s="1" customFormat="1" ht="14.25" customHeight="1" x14ac:dyDescent="0.25"/>
    <row r="70" s="1" customFormat="1" ht="14.25" customHeight="1" x14ac:dyDescent="0.25"/>
    <row r="71" s="1" customFormat="1" ht="14.25" customHeight="1" x14ac:dyDescent="0.25"/>
    <row r="72" s="1" customFormat="1" ht="14.25" customHeight="1" x14ac:dyDescent="0.25"/>
    <row r="73" s="1" customFormat="1" ht="14.25" customHeight="1" x14ac:dyDescent="0.25"/>
    <row r="74" s="1" customFormat="1" ht="14.25" customHeight="1" x14ac:dyDescent="0.25"/>
    <row r="75" s="1" customFormat="1" ht="14.25" customHeight="1" x14ac:dyDescent="0.25"/>
    <row r="76" s="1" customFormat="1" ht="14.25" customHeight="1" x14ac:dyDescent="0.25"/>
    <row r="77" s="1" customFormat="1" ht="14.25" customHeight="1" x14ac:dyDescent="0.25"/>
    <row r="78" s="1" customFormat="1" ht="14.25" customHeight="1" x14ac:dyDescent="0.25"/>
    <row r="79" s="1" customFormat="1" ht="14.25" customHeight="1" x14ac:dyDescent="0.25"/>
    <row r="80" s="1" customFormat="1" ht="14.25" customHeight="1" x14ac:dyDescent="0.25"/>
    <row r="81" s="1" customFormat="1" ht="14.25" customHeight="1" x14ac:dyDescent="0.25"/>
    <row r="82" s="1" customFormat="1" ht="14.25" customHeight="1" x14ac:dyDescent="0.25"/>
    <row r="83" s="1" customFormat="1" ht="14.25" customHeight="1" x14ac:dyDescent="0.25"/>
    <row r="84" s="1" customFormat="1" ht="14.25" customHeight="1" x14ac:dyDescent="0.25"/>
    <row r="85" s="1" customFormat="1" ht="14.25" customHeight="1" x14ac:dyDescent="0.25"/>
    <row r="86" s="1" customFormat="1" ht="14.25" customHeight="1" x14ac:dyDescent="0.25"/>
    <row r="87" s="1" customFormat="1" ht="14.25" customHeight="1" x14ac:dyDescent="0.25"/>
    <row r="88" s="1" customFormat="1" ht="14.25" customHeight="1" x14ac:dyDescent="0.25"/>
    <row r="89" s="1" customFormat="1" ht="14.25" customHeight="1" x14ac:dyDescent="0.25"/>
    <row r="90" s="1" customFormat="1" ht="14.25" customHeight="1" x14ac:dyDescent="0.25"/>
    <row r="91" s="1" customFormat="1" ht="14.25" customHeight="1" x14ac:dyDescent="0.25"/>
    <row r="92" s="1" customFormat="1" ht="14.25" customHeight="1" x14ac:dyDescent="0.25"/>
    <row r="93" s="1" customFormat="1" ht="14.25" customHeight="1" x14ac:dyDescent="0.25"/>
    <row r="94" s="1" customFormat="1" ht="14.25" customHeight="1" x14ac:dyDescent="0.25"/>
    <row r="95" s="1" customFormat="1" ht="14.25" customHeight="1" x14ac:dyDescent="0.25"/>
    <row r="96" s="1" customFormat="1" ht="14.25" customHeight="1" x14ac:dyDescent="0.25"/>
    <row r="97" s="1" customFormat="1" ht="14.25" customHeight="1" x14ac:dyDescent="0.25"/>
    <row r="98" s="1" customFormat="1" ht="14.25" customHeight="1" x14ac:dyDescent="0.25"/>
    <row r="99" s="1" customFormat="1" ht="14.25" customHeight="1" x14ac:dyDescent="0.25"/>
    <row r="100" s="1" customFormat="1" ht="14.25" customHeight="1" x14ac:dyDescent="0.25"/>
    <row r="101" s="1" customFormat="1" ht="14.25" customHeight="1" x14ac:dyDescent="0.25"/>
    <row r="102" s="1" customFormat="1" ht="14.25" customHeight="1" x14ac:dyDescent="0.25"/>
    <row r="103" s="1" customFormat="1" ht="14.25" customHeight="1" x14ac:dyDescent="0.25"/>
    <row r="104" s="1" customFormat="1" ht="14.25" customHeight="1" x14ac:dyDescent="0.25"/>
    <row r="105" s="1" customFormat="1" ht="14.25" customHeight="1" x14ac:dyDescent="0.25"/>
    <row r="106" s="1" customFormat="1" ht="14.25" customHeight="1" x14ac:dyDescent="0.25"/>
    <row r="107" s="1" customFormat="1" ht="14.25" customHeight="1" x14ac:dyDescent="0.25"/>
    <row r="108" s="1" customFormat="1" ht="14.25" customHeight="1" x14ac:dyDescent="0.25"/>
    <row r="109" s="1" customFormat="1" ht="14.25" customHeight="1" x14ac:dyDescent="0.25"/>
    <row r="110" s="1" customFormat="1" ht="14.25" customHeight="1" x14ac:dyDescent="0.25"/>
    <row r="111" s="1" customFormat="1" ht="14.25" customHeight="1" x14ac:dyDescent="0.25"/>
    <row r="112" s="1" customFormat="1" ht="14.25" customHeight="1" x14ac:dyDescent="0.25"/>
    <row r="113" s="1" customFormat="1" ht="14.25" customHeight="1" x14ac:dyDescent="0.25"/>
    <row r="114" s="1" customFormat="1" ht="14.25" customHeight="1" x14ac:dyDescent="0.25"/>
    <row r="115" s="1" customFormat="1" ht="14.25" customHeight="1" x14ac:dyDescent="0.25"/>
    <row r="116" s="1" customFormat="1" ht="14.25" customHeight="1" x14ac:dyDescent="0.25"/>
    <row r="117" s="1" customFormat="1" ht="14.25" customHeight="1" x14ac:dyDescent="0.25"/>
    <row r="118" s="1" customFormat="1" ht="14.25" customHeight="1" x14ac:dyDescent="0.25"/>
    <row r="119" s="1" customFormat="1" ht="14.25" customHeight="1" x14ac:dyDescent="0.25"/>
    <row r="120" s="1" customFormat="1" ht="14.25" customHeight="1" x14ac:dyDescent="0.25"/>
    <row r="121" s="1" customFormat="1" ht="14.25" customHeight="1" x14ac:dyDescent="0.25"/>
    <row r="122" s="1" customFormat="1" ht="14.25" customHeight="1" x14ac:dyDescent="0.25"/>
    <row r="123" s="1" customFormat="1" ht="14.25" customHeight="1" x14ac:dyDescent="0.25"/>
    <row r="124" s="1" customFormat="1" ht="14.25" customHeight="1" x14ac:dyDescent="0.25"/>
    <row r="125" s="1" customFormat="1" ht="14.25" customHeight="1" x14ac:dyDescent="0.25"/>
    <row r="126" s="1" customFormat="1" ht="14.25" customHeight="1" x14ac:dyDescent="0.25"/>
    <row r="127" s="1" customFormat="1" ht="14.25" customHeight="1" x14ac:dyDescent="0.25"/>
    <row r="128" s="1" customFormat="1" ht="14.25" customHeight="1" x14ac:dyDescent="0.25"/>
    <row r="129" s="1" customFormat="1" ht="14.25" customHeight="1" x14ac:dyDescent="0.25"/>
    <row r="130" s="1" customFormat="1" ht="14.25" customHeight="1" x14ac:dyDescent="0.25"/>
    <row r="131" s="1" customFormat="1" ht="14.25" customHeight="1" x14ac:dyDescent="0.25"/>
    <row r="132" s="1" customFormat="1" ht="14.25" customHeight="1" x14ac:dyDescent="0.25"/>
    <row r="133" s="1" customFormat="1" ht="14.25" customHeight="1" x14ac:dyDescent="0.25"/>
    <row r="134" s="1" customFormat="1" ht="14.25" customHeight="1" x14ac:dyDescent="0.25"/>
    <row r="135" s="1" customFormat="1" ht="14.25" customHeight="1" x14ac:dyDescent="0.25"/>
    <row r="136" s="1" customFormat="1" ht="14.25" customHeight="1" x14ac:dyDescent="0.25"/>
    <row r="137" s="1" customFormat="1" ht="14.25" customHeight="1" x14ac:dyDescent="0.25"/>
    <row r="138" s="1" customFormat="1" ht="14.25" customHeight="1" x14ac:dyDescent="0.25"/>
    <row r="139" s="1" customFormat="1" ht="14.25" customHeight="1" x14ac:dyDescent="0.25"/>
    <row r="140" s="1" customFormat="1" ht="14.25" customHeight="1" x14ac:dyDescent="0.25"/>
    <row r="141" s="1" customFormat="1" ht="14.25" customHeight="1" x14ac:dyDescent="0.25"/>
    <row r="142" s="1" customFormat="1" ht="14.25" customHeight="1" x14ac:dyDescent="0.25"/>
    <row r="143" s="1" customFormat="1" ht="14.25" customHeight="1" x14ac:dyDescent="0.25"/>
    <row r="144" s="1" customFormat="1" ht="14.25" customHeight="1" x14ac:dyDescent="0.25"/>
    <row r="145" s="1" customFormat="1" ht="14.25" customHeight="1" x14ac:dyDescent="0.25"/>
    <row r="146" s="1" customFormat="1" ht="14.25" customHeight="1" x14ac:dyDescent="0.25"/>
    <row r="147" s="1" customFormat="1" ht="14.25" customHeight="1" x14ac:dyDescent="0.25"/>
    <row r="148" s="1" customFormat="1" ht="14.25" customHeight="1" x14ac:dyDescent="0.25"/>
    <row r="149" s="1" customFormat="1" ht="14.25" customHeight="1" x14ac:dyDescent="0.25"/>
    <row r="150" s="1" customFormat="1" ht="14.25" customHeight="1" x14ac:dyDescent="0.25"/>
    <row r="151" s="1" customFormat="1" ht="14.25" customHeight="1" x14ac:dyDescent="0.25"/>
    <row r="152" s="1" customFormat="1" ht="14.25" customHeight="1" x14ac:dyDescent="0.25"/>
    <row r="153" s="1" customFormat="1" ht="14.25" customHeight="1" x14ac:dyDescent="0.25"/>
    <row r="154" s="1" customFormat="1" ht="14.25" customHeight="1" x14ac:dyDescent="0.25"/>
    <row r="155" s="1" customFormat="1" ht="14.25" customHeight="1" x14ac:dyDescent="0.25"/>
    <row r="156" s="1" customFormat="1" ht="14.25" customHeight="1" x14ac:dyDescent="0.25"/>
    <row r="157" s="1" customFormat="1" ht="14.25" customHeight="1" x14ac:dyDescent="0.25"/>
    <row r="158" s="1" customFormat="1" ht="14.25" customHeight="1" x14ac:dyDescent="0.25"/>
    <row r="159" s="1" customFormat="1" ht="14.25" customHeight="1" x14ac:dyDescent="0.25"/>
    <row r="160" s="1" customFormat="1" ht="14.25" customHeight="1" x14ac:dyDescent="0.25"/>
    <row r="161" s="1" customFormat="1" ht="14.25" customHeight="1" x14ac:dyDescent="0.25"/>
    <row r="162" s="1" customFormat="1" ht="14.25" customHeight="1" x14ac:dyDescent="0.25"/>
    <row r="163" s="1" customFormat="1" ht="14.25" customHeight="1" x14ac:dyDescent="0.25"/>
    <row r="164" s="1" customFormat="1" ht="14.25" customHeight="1" x14ac:dyDescent="0.25"/>
    <row r="165" s="1" customFormat="1" ht="14.25" customHeight="1" x14ac:dyDescent="0.25"/>
    <row r="166" s="1" customFormat="1" ht="14.25" customHeight="1" x14ac:dyDescent="0.25"/>
    <row r="167" s="1" customFormat="1" ht="14.25" customHeight="1" x14ac:dyDescent="0.25"/>
    <row r="168" s="1" customFormat="1" ht="14.25" customHeight="1" x14ac:dyDescent="0.25"/>
    <row r="169" s="1" customFormat="1" ht="14.25" customHeight="1" x14ac:dyDescent="0.25"/>
    <row r="170" s="1" customFormat="1" ht="14.25" customHeight="1" x14ac:dyDescent="0.25"/>
    <row r="171" s="1" customFormat="1" ht="14.25" customHeight="1" x14ac:dyDescent="0.25"/>
    <row r="172" s="1" customFormat="1" ht="14.25" customHeight="1" x14ac:dyDescent="0.25"/>
    <row r="173" s="1" customFormat="1" ht="14.25" customHeight="1" x14ac:dyDescent="0.25"/>
    <row r="174" s="1" customFormat="1" ht="14.25" customHeight="1" x14ac:dyDescent="0.25"/>
    <row r="175" s="1" customFormat="1" ht="14.25" customHeight="1" x14ac:dyDescent="0.25"/>
    <row r="176" s="1" customFormat="1" ht="14.25" customHeight="1" x14ac:dyDescent="0.25"/>
    <row r="177" s="1" customFormat="1" ht="14.25" customHeight="1" x14ac:dyDescent="0.25"/>
    <row r="178" s="1" customFormat="1" ht="14.25" customHeight="1" x14ac:dyDescent="0.25"/>
    <row r="179" s="1" customFormat="1" ht="14.25" customHeight="1" x14ac:dyDescent="0.25"/>
    <row r="180" s="1" customFormat="1" ht="14.25" customHeight="1" x14ac:dyDescent="0.25"/>
    <row r="181" s="1" customFormat="1" ht="14.25" customHeight="1" x14ac:dyDescent="0.25"/>
    <row r="182" s="1" customFormat="1" ht="14.25" customHeight="1" x14ac:dyDescent="0.25"/>
    <row r="183" s="1" customFormat="1" ht="14.25" customHeight="1" x14ac:dyDescent="0.25"/>
    <row r="184" s="1" customFormat="1" ht="14.25" customHeight="1" x14ac:dyDescent="0.25"/>
    <row r="185" s="1" customFormat="1" ht="14.25" customHeight="1" x14ac:dyDescent="0.25"/>
    <row r="186" s="1" customFormat="1" ht="14.25" customHeight="1" x14ac:dyDescent="0.25"/>
    <row r="187" s="1" customFormat="1" ht="14.25" customHeight="1" x14ac:dyDescent="0.25"/>
    <row r="188" s="1" customFormat="1" ht="14.25" customHeight="1" x14ac:dyDescent="0.25"/>
    <row r="189" s="1" customFormat="1" ht="14.25" customHeight="1" x14ac:dyDescent="0.25"/>
    <row r="190" s="1" customFormat="1" ht="14.25" customHeight="1" x14ac:dyDescent="0.25"/>
    <row r="191" s="1" customFormat="1" ht="14.25" customHeight="1" x14ac:dyDescent="0.25"/>
    <row r="192" s="1" customFormat="1" ht="14.25" customHeight="1" x14ac:dyDescent="0.25"/>
    <row r="193" s="1" customFormat="1" ht="14.25" customHeight="1" x14ac:dyDescent="0.25"/>
    <row r="194" s="1" customFormat="1" ht="14.25" customHeight="1" x14ac:dyDescent="0.25"/>
    <row r="195" s="1" customFormat="1" ht="14.25" customHeight="1" x14ac:dyDescent="0.25"/>
    <row r="196" s="1" customFormat="1" ht="14.25" customHeight="1" x14ac:dyDescent="0.25"/>
    <row r="197" s="1" customFormat="1" ht="14.25" customHeight="1" x14ac:dyDescent="0.25"/>
    <row r="198" s="1" customFormat="1" ht="14.25" customHeight="1" x14ac:dyDescent="0.25"/>
    <row r="199" s="1" customFormat="1" ht="14.25" customHeight="1" x14ac:dyDescent="0.25"/>
    <row r="200" s="1" customFormat="1" ht="14.25" customHeight="1" x14ac:dyDescent="0.25"/>
    <row r="201" s="1" customFormat="1" ht="14.25" customHeight="1" x14ac:dyDescent="0.25"/>
    <row r="202" s="1" customFormat="1" ht="14.25" customHeight="1" x14ac:dyDescent="0.25"/>
    <row r="203" s="1" customFormat="1" ht="14.25" customHeight="1" x14ac:dyDescent="0.25"/>
    <row r="204" s="1" customFormat="1" ht="14.25" customHeight="1" x14ac:dyDescent="0.25"/>
    <row r="205" s="1" customFormat="1" ht="14.25" customHeight="1" x14ac:dyDescent="0.25"/>
    <row r="206" s="1" customFormat="1" ht="14.25" customHeight="1" x14ac:dyDescent="0.25"/>
    <row r="207" s="1" customFormat="1" ht="14.25" customHeight="1" x14ac:dyDescent="0.25"/>
    <row r="208" s="1" customFormat="1" ht="14.25" customHeight="1" x14ac:dyDescent="0.25"/>
    <row r="209" s="1" customFormat="1" ht="14.25" customHeight="1" x14ac:dyDescent="0.25"/>
    <row r="210" s="1" customFormat="1" ht="14.25" customHeight="1" x14ac:dyDescent="0.25"/>
    <row r="211" s="1" customFormat="1" ht="14.25" customHeight="1" x14ac:dyDescent="0.25"/>
    <row r="212" s="1" customFormat="1" ht="14.25" customHeight="1" x14ac:dyDescent="0.25"/>
    <row r="213" s="1" customFormat="1" ht="14.25" customHeight="1" x14ac:dyDescent="0.25"/>
    <row r="214" s="1" customFormat="1" ht="14.25" customHeight="1" x14ac:dyDescent="0.25"/>
    <row r="215" s="1" customFormat="1" ht="14.25" customHeight="1" x14ac:dyDescent="0.25"/>
    <row r="216" s="1" customFormat="1" ht="14.25" customHeight="1" x14ac:dyDescent="0.25"/>
    <row r="217" s="1" customFormat="1" ht="14.25" customHeight="1" x14ac:dyDescent="0.25"/>
    <row r="218" s="1" customFormat="1" ht="14.25" customHeight="1" x14ac:dyDescent="0.25"/>
    <row r="219" s="1" customFormat="1" ht="14.25" customHeight="1" x14ac:dyDescent="0.25"/>
    <row r="220" s="1" customFormat="1" ht="14.25" customHeight="1" x14ac:dyDescent="0.25"/>
    <row r="221" s="1" customFormat="1" ht="14.25" customHeight="1" x14ac:dyDescent="0.25"/>
    <row r="222" s="1" customFormat="1" ht="14.25" customHeight="1" x14ac:dyDescent="0.25"/>
    <row r="223" s="1" customFormat="1" ht="14.25" customHeight="1" x14ac:dyDescent="0.25"/>
    <row r="224" s="1" customFormat="1" ht="14.25" customHeight="1" x14ac:dyDescent="0.25"/>
    <row r="225" s="1" customFormat="1" ht="14.25" customHeight="1" x14ac:dyDescent="0.25"/>
    <row r="226" s="1" customFormat="1" ht="14.25" customHeight="1" x14ac:dyDescent="0.25"/>
    <row r="227" s="1" customFormat="1" ht="14.25" customHeight="1" x14ac:dyDescent="0.25"/>
    <row r="228" s="1" customFormat="1" ht="14.25" customHeight="1" x14ac:dyDescent="0.25"/>
    <row r="229" s="1" customFormat="1" ht="14.25" customHeight="1" x14ac:dyDescent="0.25"/>
    <row r="230" s="1" customFormat="1" ht="14.25" customHeight="1" x14ac:dyDescent="0.25"/>
    <row r="231" s="1" customFormat="1" ht="14.25" customHeight="1" x14ac:dyDescent="0.25"/>
    <row r="232" s="1" customFormat="1" ht="14.25" customHeight="1" x14ac:dyDescent="0.25"/>
    <row r="233" s="1" customFormat="1" ht="14.25" customHeight="1" x14ac:dyDescent="0.25"/>
    <row r="234" s="1" customFormat="1" ht="14.25" customHeight="1" x14ac:dyDescent="0.25"/>
    <row r="235" s="1" customFormat="1" ht="14.25" customHeight="1" x14ac:dyDescent="0.25"/>
    <row r="236" s="1" customFormat="1" ht="14.25" customHeight="1" x14ac:dyDescent="0.25"/>
    <row r="237" s="1" customFormat="1" ht="14.25" customHeight="1" x14ac:dyDescent="0.25"/>
    <row r="238" s="1" customFormat="1" ht="14.25" customHeight="1" x14ac:dyDescent="0.25"/>
    <row r="239" s="1" customFormat="1" ht="14.25" customHeight="1" x14ac:dyDescent="0.25"/>
    <row r="240" s="1" customFormat="1" ht="14.25" customHeight="1" x14ac:dyDescent="0.25"/>
    <row r="241" s="1" customFormat="1" ht="14.25" customHeight="1" x14ac:dyDescent="0.25"/>
    <row r="242" s="1" customFormat="1" ht="14.25" customHeight="1" x14ac:dyDescent="0.25"/>
    <row r="243" s="1" customFormat="1" ht="14.25" customHeight="1" x14ac:dyDescent="0.25"/>
    <row r="244" s="1" customFormat="1" ht="14.25" customHeight="1" x14ac:dyDescent="0.25"/>
    <row r="245" s="1" customFormat="1" ht="14.25" customHeight="1" x14ac:dyDescent="0.25"/>
    <row r="246" s="1" customFormat="1" ht="14.25" customHeight="1" x14ac:dyDescent="0.25"/>
    <row r="247" s="1" customFormat="1" ht="14.25" customHeight="1" x14ac:dyDescent="0.25"/>
    <row r="248" s="1" customFormat="1" ht="14.25" customHeight="1" x14ac:dyDescent="0.25"/>
    <row r="249" s="1" customFormat="1" ht="14.25" customHeight="1" x14ac:dyDescent="0.25"/>
    <row r="250" s="1" customFormat="1" ht="14.25" customHeight="1" x14ac:dyDescent="0.25"/>
    <row r="251" s="1" customFormat="1" ht="14.25" customHeight="1" x14ac:dyDescent="0.25"/>
    <row r="252" s="1" customFormat="1" ht="14.25" customHeight="1" x14ac:dyDescent="0.25"/>
    <row r="253" s="1" customFormat="1" ht="14.25" customHeight="1" x14ac:dyDescent="0.25"/>
    <row r="254" s="1" customFormat="1" ht="14.25" customHeight="1" x14ac:dyDescent="0.25"/>
    <row r="255" s="1" customFormat="1" ht="14.25" customHeight="1" x14ac:dyDescent="0.25"/>
    <row r="256" s="1" customFormat="1" ht="14.25" customHeight="1" x14ac:dyDescent="0.25"/>
    <row r="257" s="1" customFormat="1" ht="14.25" customHeight="1" x14ac:dyDescent="0.25"/>
    <row r="258" s="1" customFormat="1" ht="14.25" customHeight="1" x14ac:dyDescent="0.25"/>
    <row r="259" s="1" customFormat="1" ht="14.25" customHeight="1" x14ac:dyDescent="0.25"/>
    <row r="260" s="1" customFormat="1" ht="14.25" customHeight="1" x14ac:dyDescent="0.25"/>
    <row r="261" s="1" customFormat="1" ht="14.25" customHeight="1" x14ac:dyDescent="0.25"/>
    <row r="262" s="1" customFormat="1" ht="14.25" customHeight="1" x14ac:dyDescent="0.25"/>
    <row r="263" s="1" customFormat="1" ht="14.25" customHeight="1" x14ac:dyDescent="0.25"/>
    <row r="264" s="1" customFormat="1" ht="14.25" customHeight="1" x14ac:dyDescent="0.25"/>
    <row r="265" s="1" customFormat="1" ht="14.25" customHeight="1" x14ac:dyDescent="0.25"/>
    <row r="266" s="1" customFormat="1" ht="14.25" customHeight="1" x14ac:dyDescent="0.25"/>
    <row r="267" s="1" customFormat="1" ht="14.25" customHeight="1" x14ac:dyDescent="0.25"/>
    <row r="268" s="1" customFormat="1" ht="14.25" customHeight="1" x14ac:dyDescent="0.25"/>
    <row r="269" s="1" customFormat="1" ht="14.25" customHeight="1" x14ac:dyDescent="0.25"/>
    <row r="270" s="1" customFormat="1" ht="14.25" customHeight="1" x14ac:dyDescent="0.25"/>
    <row r="271" s="1" customFormat="1" ht="14.25" customHeight="1" x14ac:dyDescent="0.25"/>
    <row r="272" s="1" customFormat="1" ht="14.25" customHeight="1" x14ac:dyDescent="0.25"/>
    <row r="273" s="1" customFormat="1" ht="14.25" customHeight="1" x14ac:dyDescent="0.25"/>
    <row r="274" s="1" customFormat="1" ht="14.25" customHeight="1" x14ac:dyDescent="0.25"/>
    <row r="275" s="1" customFormat="1" ht="14.25" customHeight="1" x14ac:dyDescent="0.25"/>
    <row r="276" s="1" customFormat="1" ht="14.25" customHeight="1" x14ac:dyDescent="0.25"/>
    <row r="277" s="1" customFormat="1" ht="14.25" customHeight="1" x14ac:dyDescent="0.25"/>
    <row r="278" s="1" customFormat="1" ht="14.25" customHeight="1" x14ac:dyDescent="0.25"/>
    <row r="279" s="1" customFormat="1" ht="14.25" customHeight="1" x14ac:dyDescent="0.25"/>
    <row r="280" s="1" customFormat="1" ht="14.25" customHeight="1" x14ac:dyDescent="0.25"/>
    <row r="281" s="1" customFormat="1" ht="14.25" customHeight="1" x14ac:dyDescent="0.25"/>
    <row r="282" s="1" customFormat="1" ht="14.25" customHeight="1" x14ac:dyDescent="0.25"/>
    <row r="283" s="1" customFormat="1" ht="14.25" customHeight="1" x14ac:dyDescent="0.25"/>
    <row r="284" s="1" customFormat="1" ht="14.25" customHeight="1" x14ac:dyDescent="0.25"/>
    <row r="285" s="1" customFormat="1" ht="14.25" customHeight="1" x14ac:dyDescent="0.25"/>
    <row r="286" s="1" customFormat="1" ht="14.25" customHeight="1" x14ac:dyDescent="0.25"/>
    <row r="287" s="1" customFormat="1" ht="14.25" customHeight="1" x14ac:dyDescent="0.25"/>
    <row r="288" s="1" customFormat="1" ht="14.25" customHeight="1" x14ac:dyDescent="0.25"/>
    <row r="289" s="1" customFormat="1" ht="14.25" customHeight="1" x14ac:dyDescent="0.25"/>
    <row r="290" s="1" customFormat="1" ht="14.25" customHeight="1" x14ac:dyDescent="0.25"/>
    <row r="291" s="1" customFormat="1" ht="14.25" customHeight="1" x14ac:dyDescent="0.25"/>
    <row r="292" s="1" customFormat="1" ht="14.25" customHeight="1" x14ac:dyDescent="0.25"/>
    <row r="293" s="1" customFormat="1" ht="14.25" customHeight="1" x14ac:dyDescent="0.25"/>
    <row r="294" s="1" customFormat="1" ht="14.25" customHeight="1" x14ac:dyDescent="0.25"/>
    <row r="295" s="1" customFormat="1" ht="14.25" customHeight="1" x14ac:dyDescent="0.25"/>
    <row r="296" s="1" customFormat="1" ht="14.25" customHeight="1" x14ac:dyDescent="0.25"/>
    <row r="297" s="1" customFormat="1" ht="14.25" customHeight="1" x14ac:dyDescent="0.25"/>
    <row r="298" s="1" customFormat="1" ht="14.25" customHeight="1" x14ac:dyDescent="0.25"/>
    <row r="299" s="1" customFormat="1" ht="14.25" customHeight="1" x14ac:dyDescent="0.25"/>
    <row r="300" s="1" customFormat="1" ht="14.25" customHeight="1" x14ac:dyDescent="0.25"/>
    <row r="301" s="1" customFormat="1" ht="14.25" customHeight="1" x14ac:dyDescent="0.25"/>
    <row r="302" s="1" customFormat="1" ht="14.25" customHeight="1" x14ac:dyDescent="0.25"/>
    <row r="303" s="1" customFormat="1" ht="14.25" customHeight="1" x14ac:dyDescent="0.25"/>
    <row r="304" s="1" customFormat="1" ht="14.25" customHeight="1" x14ac:dyDescent="0.25"/>
    <row r="305" s="1" customFormat="1" ht="14.25" customHeight="1" x14ac:dyDescent="0.25"/>
    <row r="306" s="1" customFormat="1" ht="14.25" customHeight="1" x14ac:dyDescent="0.25"/>
    <row r="307" s="1" customFormat="1" ht="14.25" customHeight="1" x14ac:dyDescent="0.25"/>
    <row r="308" s="1" customFormat="1" ht="14.25" customHeight="1" x14ac:dyDescent="0.25"/>
    <row r="309" s="1" customFormat="1" ht="14.25" customHeight="1" x14ac:dyDescent="0.25"/>
    <row r="310" s="1" customFormat="1" ht="14.25" customHeight="1" x14ac:dyDescent="0.25"/>
    <row r="311" s="1" customFormat="1" ht="14.25" customHeight="1" x14ac:dyDescent="0.25"/>
    <row r="312" s="1" customFormat="1" ht="14.25" customHeight="1" x14ac:dyDescent="0.25"/>
    <row r="313" s="1" customFormat="1" ht="14.25" customHeight="1" x14ac:dyDescent="0.25"/>
    <row r="314" s="1" customFormat="1" ht="14.25" customHeight="1" x14ac:dyDescent="0.25"/>
    <row r="315" s="1" customFormat="1" ht="14.25" customHeight="1" x14ac:dyDescent="0.25"/>
    <row r="316" s="1" customFormat="1" ht="14.25" customHeight="1" x14ac:dyDescent="0.25"/>
    <row r="317" s="1" customFormat="1" ht="14.25" customHeight="1" x14ac:dyDescent="0.25"/>
    <row r="318" s="1" customFormat="1" ht="14.25" customHeight="1" x14ac:dyDescent="0.25"/>
    <row r="319" s="1" customFormat="1" ht="14.25" customHeight="1" x14ac:dyDescent="0.25"/>
    <row r="320" s="1" customFormat="1" ht="14.25" customHeight="1" x14ac:dyDescent="0.25"/>
    <row r="321" s="1" customFormat="1" ht="14.25" customHeight="1" x14ac:dyDescent="0.25"/>
    <row r="322" s="1" customFormat="1" ht="14.25" customHeight="1" x14ac:dyDescent="0.25"/>
    <row r="323" s="1" customFormat="1" ht="14.25" customHeight="1" x14ac:dyDescent="0.25"/>
    <row r="324" s="1" customFormat="1" ht="14.25" customHeight="1" x14ac:dyDescent="0.25"/>
    <row r="325" s="1" customFormat="1" ht="14.25" customHeight="1" x14ac:dyDescent="0.25"/>
    <row r="326" s="1" customFormat="1" ht="14.25" customHeight="1" x14ac:dyDescent="0.25"/>
    <row r="327" s="1" customFormat="1" ht="14.25" customHeight="1" x14ac:dyDescent="0.25"/>
    <row r="328" s="1" customFormat="1" ht="14.25" customHeight="1" x14ac:dyDescent="0.25"/>
    <row r="329" s="1" customFormat="1" ht="14.25" customHeight="1" x14ac:dyDescent="0.25"/>
    <row r="330" s="1" customFormat="1" ht="14.25" customHeight="1" x14ac:dyDescent="0.25"/>
    <row r="331" s="1" customFormat="1" ht="14.25" customHeight="1" x14ac:dyDescent="0.25"/>
    <row r="332" s="1" customFormat="1" ht="14.25" customHeight="1" x14ac:dyDescent="0.25"/>
    <row r="333" s="1" customFormat="1" ht="14.25" customHeight="1" x14ac:dyDescent="0.25"/>
    <row r="334" s="1" customFormat="1" ht="14.25" customHeight="1" x14ac:dyDescent="0.25"/>
    <row r="335" s="1" customFormat="1" ht="14.25" customHeight="1" x14ac:dyDescent="0.25"/>
    <row r="336" s="1" customFormat="1" ht="14.25" customHeight="1" x14ac:dyDescent="0.25"/>
    <row r="337" s="1" customFormat="1" ht="14.25" customHeight="1" x14ac:dyDescent="0.25"/>
    <row r="338" s="1" customFormat="1" ht="14.25" customHeight="1" x14ac:dyDescent="0.25"/>
    <row r="339" s="1" customFormat="1" ht="14.25" customHeight="1" x14ac:dyDescent="0.25"/>
    <row r="340" s="1" customFormat="1" ht="14.25" customHeight="1" x14ac:dyDescent="0.25"/>
    <row r="341" s="1" customFormat="1" ht="14.25" customHeight="1" x14ac:dyDescent="0.25"/>
    <row r="342" s="1" customFormat="1" ht="14.25" customHeight="1" x14ac:dyDescent="0.25"/>
    <row r="343" s="1" customFormat="1" ht="14.25" customHeight="1" x14ac:dyDescent="0.25"/>
    <row r="344" s="1" customFormat="1" ht="14.25" customHeight="1" x14ac:dyDescent="0.25"/>
    <row r="345" s="1" customFormat="1" ht="14.25" customHeight="1" x14ac:dyDescent="0.25"/>
    <row r="346" s="1" customFormat="1" ht="14.25" customHeight="1" x14ac:dyDescent="0.25"/>
    <row r="347" s="1" customFormat="1" ht="14.25" customHeight="1" x14ac:dyDescent="0.25"/>
    <row r="348" s="1" customFormat="1" ht="14.25" customHeight="1" x14ac:dyDescent="0.25"/>
    <row r="349" s="1" customFormat="1" ht="14.25" customHeight="1" x14ac:dyDescent="0.25"/>
    <row r="350" s="1" customFormat="1" ht="14.25" customHeight="1" x14ac:dyDescent="0.25"/>
    <row r="351" s="1" customFormat="1" ht="14.25" customHeight="1" x14ac:dyDescent="0.25"/>
    <row r="352" s="1" customFormat="1" ht="14.25" customHeight="1" x14ac:dyDescent="0.25"/>
    <row r="353" s="1" customFormat="1" ht="14.25" customHeight="1" x14ac:dyDescent="0.25"/>
    <row r="354" s="1" customFormat="1" ht="14.25" customHeight="1" x14ac:dyDescent="0.25"/>
    <row r="355" s="1" customFormat="1" ht="14.25" customHeight="1" x14ac:dyDescent="0.25"/>
    <row r="356" s="1" customFormat="1" ht="14.25" customHeight="1" x14ac:dyDescent="0.25"/>
    <row r="357" s="1" customFormat="1" ht="14.25" customHeight="1" x14ac:dyDescent="0.25"/>
    <row r="358" s="1" customFormat="1" ht="14.25" customHeight="1" x14ac:dyDescent="0.25"/>
    <row r="359" s="1" customFormat="1" ht="14.25" customHeight="1" x14ac:dyDescent="0.25"/>
    <row r="360" s="1" customFormat="1" ht="14.25" customHeight="1" x14ac:dyDescent="0.25"/>
    <row r="361" s="1" customFormat="1" ht="14.25" customHeight="1" x14ac:dyDescent="0.25"/>
    <row r="362" s="1" customFormat="1" ht="14.25" customHeight="1" x14ac:dyDescent="0.25"/>
    <row r="363" s="1" customFormat="1" ht="14.25" customHeight="1" x14ac:dyDescent="0.25"/>
    <row r="364" s="1" customFormat="1" ht="14.25" customHeight="1" x14ac:dyDescent="0.25"/>
    <row r="365" s="1" customFormat="1" ht="14.25" customHeight="1" x14ac:dyDescent="0.25"/>
    <row r="366" s="1" customFormat="1" ht="14.25" customHeight="1" x14ac:dyDescent="0.25"/>
    <row r="367" s="1" customFormat="1" ht="14.25" customHeight="1" x14ac:dyDescent="0.25"/>
    <row r="368" s="1" customFormat="1" ht="14.25" customHeight="1" x14ac:dyDescent="0.25"/>
    <row r="369" s="1" customFormat="1" ht="14.25" customHeight="1" x14ac:dyDescent="0.25"/>
    <row r="370" s="1" customFormat="1" ht="14.25" customHeight="1" x14ac:dyDescent="0.25"/>
    <row r="371" s="1" customFormat="1" ht="14.25" customHeight="1" x14ac:dyDescent="0.25"/>
    <row r="372" s="1" customFormat="1" ht="14.25" customHeight="1" x14ac:dyDescent="0.25"/>
    <row r="373" s="1" customFormat="1" ht="14.25" customHeight="1" x14ac:dyDescent="0.25"/>
    <row r="374" s="1" customFormat="1" ht="14.25" customHeight="1" x14ac:dyDescent="0.25"/>
    <row r="375" s="1" customFormat="1" ht="14.25" customHeight="1" x14ac:dyDescent="0.25"/>
    <row r="376" s="1" customFormat="1" ht="14.25" customHeight="1" x14ac:dyDescent="0.25"/>
    <row r="377" s="1" customFormat="1" ht="14.25" customHeight="1" x14ac:dyDescent="0.25"/>
    <row r="378" s="1" customFormat="1" ht="14.25" customHeight="1" x14ac:dyDescent="0.25"/>
    <row r="379" s="1" customFormat="1" ht="14.25" customHeight="1" x14ac:dyDescent="0.25"/>
    <row r="380" s="1" customFormat="1" ht="14.25" customHeight="1" x14ac:dyDescent="0.25"/>
    <row r="381" s="1" customFormat="1" ht="14.25" customHeight="1" x14ac:dyDescent="0.25"/>
    <row r="382" s="1" customFormat="1" ht="14.25" customHeight="1" x14ac:dyDescent="0.25"/>
    <row r="383" s="1" customFormat="1" ht="14.25" customHeight="1" x14ac:dyDescent="0.25"/>
    <row r="384" s="1" customFormat="1" ht="14.25" customHeight="1" x14ac:dyDescent="0.25"/>
    <row r="385" s="1" customFormat="1" ht="14.25" customHeight="1" x14ac:dyDescent="0.25"/>
    <row r="386" s="1" customFormat="1" ht="14.25" customHeight="1" x14ac:dyDescent="0.25"/>
    <row r="387" s="1" customFormat="1" ht="14.25" customHeight="1" x14ac:dyDescent="0.25"/>
    <row r="388" s="1" customFormat="1" ht="14.25" customHeight="1" x14ac:dyDescent="0.25"/>
    <row r="389" s="1" customFormat="1" ht="14.25" customHeight="1" x14ac:dyDescent="0.25"/>
    <row r="390" s="1" customFormat="1" ht="14.25" customHeight="1" x14ac:dyDescent="0.25"/>
    <row r="391" s="1" customFormat="1" ht="14.25" customHeight="1" x14ac:dyDescent="0.25"/>
    <row r="392" s="1" customFormat="1" ht="14.25" customHeight="1" x14ac:dyDescent="0.25"/>
    <row r="393" s="1" customFormat="1" ht="14.25" customHeight="1" x14ac:dyDescent="0.25"/>
    <row r="394" s="1" customFormat="1" ht="14.25" customHeight="1" x14ac:dyDescent="0.25"/>
    <row r="395" s="1" customFormat="1" ht="14.25" customHeight="1" x14ac:dyDescent="0.25"/>
    <row r="396" s="1" customFormat="1" ht="14.25" customHeight="1" x14ac:dyDescent="0.25"/>
    <row r="397" s="1" customFormat="1" ht="14.25" customHeight="1" x14ac:dyDescent="0.25"/>
    <row r="398" s="1" customFormat="1" ht="14.25" customHeight="1" x14ac:dyDescent="0.25"/>
    <row r="399" s="1" customFormat="1" ht="14.25" customHeight="1" x14ac:dyDescent="0.25"/>
    <row r="400" s="1" customFormat="1" ht="14.25" customHeight="1" x14ac:dyDescent="0.25"/>
    <row r="401" s="1" customFormat="1" ht="14.25" customHeight="1" x14ac:dyDescent="0.25"/>
    <row r="402" s="1" customFormat="1" ht="14.25" customHeight="1" x14ac:dyDescent="0.25"/>
    <row r="403" s="1" customFormat="1" ht="14.25" customHeight="1" x14ac:dyDescent="0.25"/>
    <row r="404" s="1" customFormat="1" ht="14.25" customHeight="1" x14ac:dyDescent="0.25"/>
    <row r="405" s="1" customFormat="1" ht="14.25" customHeight="1" x14ac:dyDescent="0.25"/>
    <row r="406" s="1" customFormat="1" ht="14.25" customHeight="1" x14ac:dyDescent="0.25"/>
    <row r="407" s="1" customFormat="1" ht="14.25" customHeight="1" x14ac:dyDescent="0.25"/>
    <row r="408" s="1" customFormat="1" ht="14.25" customHeight="1" x14ac:dyDescent="0.25"/>
    <row r="409" s="1" customFormat="1" ht="14.25" customHeight="1" x14ac:dyDescent="0.25"/>
    <row r="410" s="1" customFormat="1" ht="14.25" customHeight="1" x14ac:dyDescent="0.25"/>
    <row r="411" s="1" customFormat="1" ht="14.25" customHeight="1" x14ac:dyDescent="0.25"/>
    <row r="412" s="1" customFormat="1" ht="14.25" customHeight="1" x14ac:dyDescent="0.25"/>
    <row r="413" s="1" customFormat="1" ht="14.25" customHeight="1" x14ac:dyDescent="0.25"/>
    <row r="414" s="1" customFormat="1" ht="14.25" customHeight="1" x14ac:dyDescent="0.25"/>
    <row r="415" s="1" customFormat="1" ht="14.25" customHeight="1" x14ac:dyDescent="0.25"/>
    <row r="416" s="1" customFormat="1" ht="14.25" customHeight="1" x14ac:dyDescent="0.25"/>
    <row r="417" s="1" customFormat="1" ht="14.25" customHeight="1" x14ac:dyDescent="0.25"/>
    <row r="418" s="1" customFormat="1" ht="14.25" customHeight="1" x14ac:dyDescent="0.25"/>
    <row r="419" s="1" customFormat="1" ht="14.25" customHeight="1" x14ac:dyDescent="0.25"/>
    <row r="420" s="1" customFormat="1" ht="14.25" customHeight="1" x14ac:dyDescent="0.25"/>
    <row r="421" s="1" customFormat="1" ht="14.25" customHeight="1" x14ac:dyDescent="0.25"/>
    <row r="422" s="1" customFormat="1" ht="14.25" customHeight="1" x14ac:dyDescent="0.25"/>
    <row r="423" s="1" customFormat="1" ht="14.25" customHeight="1" x14ac:dyDescent="0.25"/>
    <row r="424" s="1" customFormat="1" ht="14.25" customHeight="1" x14ac:dyDescent="0.25"/>
    <row r="425" s="1" customFormat="1" ht="14.25" customHeight="1" x14ac:dyDescent="0.25"/>
    <row r="426" s="1" customFormat="1" ht="14.25" customHeight="1" x14ac:dyDescent="0.25"/>
    <row r="427" s="1" customFormat="1" ht="14.25" customHeight="1" x14ac:dyDescent="0.25"/>
    <row r="428" s="1" customFormat="1" ht="14.25" customHeight="1" x14ac:dyDescent="0.25"/>
    <row r="429" s="1" customFormat="1" ht="14.25" customHeight="1" x14ac:dyDescent="0.25"/>
    <row r="430" s="1" customFormat="1" ht="14.25" customHeight="1" x14ac:dyDescent="0.25"/>
    <row r="431" s="1" customFormat="1" ht="14.25" customHeight="1" x14ac:dyDescent="0.25"/>
    <row r="432" s="1" customFormat="1" ht="14.25" customHeight="1" x14ac:dyDescent="0.25"/>
    <row r="433" s="1" customFormat="1" ht="14.25" customHeight="1" x14ac:dyDescent="0.25"/>
    <row r="434" s="1" customFormat="1" ht="14.25" customHeight="1" x14ac:dyDescent="0.25"/>
    <row r="435" s="1" customFormat="1" ht="14.25" customHeight="1" x14ac:dyDescent="0.25"/>
    <row r="436" s="1" customFormat="1" ht="14.25" customHeight="1" x14ac:dyDescent="0.25"/>
    <row r="437" s="1" customFormat="1" ht="14.25" customHeight="1" x14ac:dyDescent="0.25"/>
    <row r="438" s="1" customFormat="1" ht="14.25" customHeight="1" x14ac:dyDescent="0.25"/>
    <row r="439" s="1" customFormat="1" ht="14.25" customHeight="1" x14ac:dyDescent="0.25"/>
    <row r="440" s="1" customFormat="1" ht="14.25" customHeight="1" x14ac:dyDescent="0.25"/>
    <row r="441" s="1" customFormat="1" ht="14.25" customHeight="1" x14ac:dyDescent="0.25"/>
    <row r="442" s="1" customFormat="1" ht="14.25" customHeight="1" x14ac:dyDescent="0.25"/>
    <row r="443" s="1" customFormat="1" ht="14.25" customHeight="1" x14ac:dyDescent="0.25"/>
    <row r="444" s="1" customFormat="1" ht="14.25" customHeight="1" x14ac:dyDescent="0.25"/>
    <row r="445" s="1" customFormat="1" ht="14.25" customHeight="1" x14ac:dyDescent="0.25"/>
    <row r="446" s="1" customFormat="1" ht="14.25" customHeight="1" x14ac:dyDescent="0.25"/>
    <row r="447" s="1" customFormat="1" ht="14.25" customHeight="1" x14ac:dyDescent="0.25"/>
    <row r="448" s="1" customFormat="1" ht="14.25" customHeight="1" x14ac:dyDescent="0.25"/>
    <row r="449" s="1" customFormat="1" ht="14.25" customHeight="1" x14ac:dyDescent="0.25"/>
    <row r="450" s="1" customFormat="1" ht="14.25" customHeight="1" x14ac:dyDescent="0.25"/>
    <row r="451" s="1" customFormat="1" ht="14.25" customHeight="1" x14ac:dyDescent="0.25"/>
    <row r="452" s="1" customFormat="1" ht="14.25" customHeight="1" x14ac:dyDescent="0.25"/>
    <row r="453" s="1" customFormat="1" ht="14.25" customHeight="1" x14ac:dyDescent="0.25"/>
    <row r="454" s="1" customFormat="1" ht="14.25" customHeight="1" x14ac:dyDescent="0.25"/>
    <row r="455" s="1" customFormat="1" ht="14.25" customHeight="1" x14ac:dyDescent="0.25"/>
    <row r="456" s="1" customFormat="1" ht="14.25" customHeight="1" x14ac:dyDescent="0.25"/>
    <row r="457" s="1" customFormat="1" ht="14.25" customHeight="1" x14ac:dyDescent="0.25"/>
    <row r="458" s="1" customFormat="1" ht="14.25" customHeight="1" x14ac:dyDescent="0.25"/>
    <row r="459" s="1" customFormat="1" ht="14.25" customHeight="1" x14ac:dyDescent="0.25"/>
    <row r="460" s="1" customFormat="1" ht="14.25" customHeight="1" x14ac:dyDescent="0.25"/>
    <row r="461" s="1" customFormat="1" ht="14.25" customHeight="1" x14ac:dyDescent="0.25"/>
    <row r="462" s="1" customFormat="1" ht="14.25" customHeight="1" x14ac:dyDescent="0.25"/>
    <row r="463" s="1" customFormat="1" ht="14.25" customHeight="1" x14ac:dyDescent="0.25"/>
    <row r="464" s="1" customFormat="1" ht="14.25" customHeight="1" x14ac:dyDescent="0.25"/>
    <row r="465" s="1" customFormat="1" ht="14.25" customHeight="1" x14ac:dyDescent="0.25"/>
    <row r="466" s="1" customFormat="1" ht="14.25" customHeight="1" x14ac:dyDescent="0.25"/>
    <row r="467" s="1" customFormat="1" ht="14.25" customHeight="1" x14ac:dyDescent="0.25"/>
    <row r="468" s="1" customFormat="1" ht="14.25" customHeight="1" x14ac:dyDescent="0.25"/>
    <row r="469" s="1" customFormat="1" ht="14.25" customHeight="1" x14ac:dyDescent="0.25"/>
    <row r="470" s="1" customFormat="1" ht="14.25" customHeight="1" x14ac:dyDescent="0.25"/>
    <row r="471" s="1" customFormat="1" ht="14.25" customHeight="1" x14ac:dyDescent="0.25"/>
    <row r="472" s="1" customFormat="1" ht="14.25" customHeight="1" x14ac:dyDescent="0.25"/>
    <row r="473" s="1" customFormat="1" ht="14.25" customHeight="1" x14ac:dyDescent="0.25"/>
    <row r="474" s="1" customFormat="1" ht="14.25" customHeight="1" x14ac:dyDescent="0.25"/>
    <row r="475" s="1" customFormat="1" ht="14.25" customHeight="1" x14ac:dyDescent="0.25"/>
    <row r="476" s="1" customFormat="1" ht="14.25" customHeight="1" x14ac:dyDescent="0.25"/>
    <row r="477" s="1" customFormat="1" ht="14.25" customHeight="1" x14ac:dyDescent="0.25"/>
    <row r="478" s="1" customFormat="1" ht="14.25" customHeight="1" x14ac:dyDescent="0.25"/>
    <row r="479" s="1" customFormat="1" ht="14.25" customHeight="1" x14ac:dyDescent="0.25"/>
    <row r="480" s="1" customFormat="1" ht="14.25" customHeight="1" x14ac:dyDescent="0.25"/>
    <row r="481" s="1" customFormat="1" ht="14.25" customHeight="1" x14ac:dyDescent="0.25"/>
    <row r="482" s="1" customFormat="1" ht="14.25" customHeight="1" x14ac:dyDescent="0.25"/>
    <row r="483" s="1" customFormat="1" ht="14.25" customHeight="1" x14ac:dyDescent="0.25"/>
    <row r="484" s="1" customFormat="1" ht="14.25" customHeight="1" x14ac:dyDescent="0.25"/>
    <row r="485" s="1" customFormat="1" ht="14.25" customHeight="1" x14ac:dyDescent="0.25"/>
    <row r="486" s="1" customFormat="1" ht="14.25" customHeight="1" x14ac:dyDescent="0.25"/>
    <row r="487" s="1" customFormat="1" ht="14.25" customHeight="1" x14ac:dyDescent="0.25"/>
    <row r="488" s="1" customFormat="1" ht="14.25" customHeight="1" x14ac:dyDescent="0.25"/>
    <row r="489" s="1" customFormat="1" ht="14.25" customHeight="1" x14ac:dyDescent="0.25"/>
    <row r="490" s="1" customFormat="1" ht="14.25" customHeight="1" x14ac:dyDescent="0.25"/>
    <row r="491" s="1" customFormat="1" ht="14.25" customHeight="1" x14ac:dyDescent="0.25"/>
    <row r="492" s="1" customFormat="1" ht="14.25" customHeight="1" x14ac:dyDescent="0.25"/>
    <row r="493" s="1" customFormat="1" ht="14.25" customHeight="1" x14ac:dyDescent="0.25"/>
    <row r="494" s="1" customFormat="1" ht="14.25" customHeight="1" x14ac:dyDescent="0.25"/>
    <row r="495" s="1" customFormat="1" ht="14.25" customHeight="1" x14ac:dyDescent="0.25"/>
    <row r="496" s="1" customFormat="1" ht="14.25" customHeight="1" x14ac:dyDescent="0.25"/>
    <row r="497" s="1" customFormat="1" ht="14.25" customHeight="1" x14ac:dyDescent="0.25"/>
    <row r="498" s="1" customFormat="1" ht="14.25" customHeight="1" x14ac:dyDescent="0.25"/>
    <row r="499" s="1" customFormat="1" ht="14.25" customHeight="1" x14ac:dyDescent="0.25"/>
    <row r="500" s="1" customFormat="1" ht="14.25" customHeight="1" x14ac:dyDescent="0.25"/>
    <row r="501" s="1" customFormat="1" ht="14.25" customHeight="1" x14ac:dyDescent="0.25"/>
    <row r="502" s="1" customFormat="1" ht="14.25" customHeight="1" x14ac:dyDescent="0.25"/>
    <row r="503" s="1" customFormat="1" ht="14.25" customHeight="1" x14ac:dyDescent="0.25"/>
    <row r="504" s="1" customFormat="1" ht="14.25" customHeight="1" x14ac:dyDescent="0.25"/>
    <row r="505" s="1" customFormat="1" ht="14.25" customHeight="1" x14ac:dyDescent="0.25"/>
    <row r="506" s="1" customFormat="1" ht="14.25" customHeight="1" x14ac:dyDescent="0.25"/>
    <row r="507" s="1" customFormat="1" ht="14.25" customHeight="1" x14ac:dyDescent="0.25"/>
    <row r="508" s="1" customFormat="1" ht="14.25" customHeight="1" x14ac:dyDescent="0.25"/>
    <row r="509" s="1" customFormat="1" ht="14.25" customHeight="1" x14ac:dyDescent="0.25"/>
    <row r="510" s="1" customFormat="1" ht="14.25" customHeight="1" x14ac:dyDescent="0.25"/>
    <row r="511" s="1" customFormat="1" ht="14.25" customHeight="1" x14ac:dyDescent="0.25"/>
    <row r="512" s="1" customFormat="1" ht="14.25" customHeight="1" x14ac:dyDescent="0.25"/>
    <row r="513" s="1" customFormat="1" ht="14.25" customHeight="1" x14ac:dyDescent="0.25"/>
    <row r="514" s="1" customFormat="1" ht="14.25" customHeight="1" x14ac:dyDescent="0.25"/>
    <row r="515" s="1" customFormat="1" ht="14.25" customHeight="1" x14ac:dyDescent="0.25"/>
    <row r="516" s="1" customFormat="1" ht="14.25" customHeight="1" x14ac:dyDescent="0.25"/>
    <row r="517" s="1" customFormat="1" ht="14.25" customHeight="1" x14ac:dyDescent="0.25"/>
    <row r="518" s="1" customFormat="1" ht="14.25" customHeight="1" x14ac:dyDescent="0.25"/>
    <row r="519" s="1" customFormat="1" ht="14.25" customHeight="1" x14ac:dyDescent="0.25"/>
    <row r="520" s="1" customFormat="1" ht="14.25" customHeight="1" x14ac:dyDescent="0.25"/>
    <row r="521" s="1" customFormat="1" ht="14.25" customHeight="1" x14ac:dyDescent="0.25"/>
    <row r="522" s="1" customFormat="1" ht="14.25" customHeight="1" x14ac:dyDescent="0.25"/>
    <row r="523" s="1" customFormat="1" ht="14.25" customHeight="1" x14ac:dyDescent="0.25"/>
    <row r="524" s="1" customFormat="1" ht="14.25" customHeight="1" x14ac:dyDescent="0.25"/>
    <row r="525" s="1" customFormat="1" ht="14.25" customHeight="1" x14ac:dyDescent="0.25"/>
    <row r="526" s="1" customFormat="1" ht="14.25" customHeight="1" x14ac:dyDescent="0.25"/>
    <row r="527" s="1" customFormat="1" ht="14.25" customHeight="1" x14ac:dyDescent="0.25"/>
    <row r="528" s="1" customFormat="1" ht="14.25" customHeight="1" x14ac:dyDescent="0.25"/>
    <row r="529" s="1" customFormat="1" ht="14.25" customHeight="1" x14ac:dyDescent="0.25"/>
    <row r="530" s="1" customFormat="1" ht="14.25" customHeight="1" x14ac:dyDescent="0.25"/>
    <row r="531" s="1" customFormat="1" ht="14.25" customHeight="1" x14ac:dyDescent="0.25"/>
    <row r="532" s="1" customFormat="1" ht="14.25" customHeight="1" x14ac:dyDescent="0.25"/>
    <row r="533" s="1" customFormat="1" ht="14.25" customHeight="1" x14ac:dyDescent="0.25"/>
    <row r="534" s="1" customFormat="1" ht="14.25" customHeight="1" x14ac:dyDescent="0.25"/>
    <row r="535" s="1" customFormat="1" ht="14.25" customHeight="1" x14ac:dyDescent="0.25"/>
    <row r="536" s="1" customFormat="1" ht="14.25" customHeight="1" x14ac:dyDescent="0.25"/>
    <row r="537" s="1" customFormat="1" ht="14.25" customHeight="1" x14ac:dyDescent="0.25"/>
    <row r="538" s="1" customFormat="1" ht="14.25" customHeight="1" x14ac:dyDescent="0.25"/>
    <row r="539" s="1" customFormat="1" ht="14.25" customHeight="1" x14ac:dyDescent="0.25"/>
    <row r="540" s="1" customFormat="1" ht="14.25" customHeight="1" x14ac:dyDescent="0.25"/>
    <row r="541" s="1" customFormat="1" ht="14.25" customHeight="1" x14ac:dyDescent="0.25"/>
    <row r="542" s="1" customFormat="1" ht="14.25" customHeight="1" x14ac:dyDescent="0.25"/>
    <row r="543" s="1" customFormat="1" ht="14.25" customHeight="1" x14ac:dyDescent="0.25"/>
    <row r="544" s="1" customFormat="1" ht="14.25" customHeight="1" x14ac:dyDescent="0.25"/>
    <row r="545" s="1" customFormat="1" ht="14.25" customHeight="1" x14ac:dyDescent="0.25"/>
    <row r="546" s="1" customFormat="1" ht="14.25" customHeight="1" x14ac:dyDescent="0.25"/>
    <row r="547" s="1" customFormat="1" ht="14.25" customHeight="1" x14ac:dyDescent="0.25"/>
    <row r="548" s="1" customFormat="1" ht="14.25" customHeight="1" x14ac:dyDescent="0.25"/>
    <row r="549" s="1" customFormat="1" ht="14.25" customHeight="1" x14ac:dyDescent="0.25"/>
    <row r="550" s="1" customFormat="1" ht="14.25" customHeight="1" x14ac:dyDescent="0.25"/>
    <row r="551" s="1" customFormat="1" ht="14.25" customHeight="1" x14ac:dyDescent="0.25"/>
    <row r="552" s="1" customFormat="1" ht="14.25" customHeight="1" x14ac:dyDescent="0.25"/>
    <row r="553" s="1" customFormat="1" ht="14.25" customHeight="1" x14ac:dyDescent="0.25"/>
    <row r="554" s="1" customFormat="1" ht="14.25" customHeight="1" x14ac:dyDescent="0.25"/>
    <row r="555" s="1" customFormat="1" ht="14.25" customHeight="1" x14ac:dyDescent="0.25"/>
    <row r="556" s="1" customFormat="1" ht="14.25" customHeight="1" x14ac:dyDescent="0.25"/>
    <row r="557" s="1" customFormat="1" ht="14.25" customHeight="1" x14ac:dyDescent="0.25"/>
    <row r="558" s="1" customFormat="1" ht="14.25" customHeight="1" x14ac:dyDescent="0.25"/>
    <row r="559" s="1" customFormat="1" ht="14.25" customHeight="1" x14ac:dyDescent="0.25"/>
    <row r="560" s="1" customFormat="1" ht="14.25" customHeight="1" x14ac:dyDescent="0.25"/>
    <row r="561" s="1" customFormat="1" ht="14.25" customHeight="1" x14ac:dyDescent="0.25"/>
    <row r="562" s="1" customFormat="1" ht="14.25" customHeight="1" x14ac:dyDescent="0.25"/>
    <row r="563" s="1" customFormat="1" ht="14.25" customHeight="1" x14ac:dyDescent="0.25"/>
    <row r="564" s="1" customFormat="1" ht="14.25" customHeight="1" x14ac:dyDescent="0.25"/>
    <row r="565" s="1" customFormat="1" ht="14.25" customHeight="1" x14ac:dyDescent="0.25"/>
    <row r="566" s="1" customFormat="1" ht="14.25" customHeight="1" x14ac:dyDescent="0.25"/>
    <row r="567" s="1" customFormat="1" ht="14.25" customHeight="1" x14ac:dyDescent="0.25"/>
    <row r="568" s="1" customFormat="1" ht="14.25" customHeight="1" x14ac:dyDescent="0.25"/>
    <row r="569" s="1" customFormat="1" ht="14.25" customHeight="1" x14ac:dyDescent="0.25"/>
    <row r="570" s="1" customFormat="1" ht="14.25" customHeight="1" x14ac:dyDescent="0.25"/>
    <row r="571" s="1" customFormat="1" ht="14.25" customHeight="1" x14ac:dyDescent="0.25"/>
    <row r="572" s="1" customFormat="1" ht="14.25" customHeight="1" x14ac:dyDescent="0.25"/>
    <row r="573" s="1" customFormat="1" ht="14.25" customHeight="1" x14ac:dyDescent="0.25"/>
    <row r="574" s="1" customFormat="1" ht="14.25" customHeight="1" x14ac:dyDescent="0.25"/>
    <row r="575" s="1" customFormat="1" ht="14.25" customHeight="1" x14ac:dyDescent="0.25"/>
    <row r="576" s="1" customFormat="1" ht="14.25" customHeight="1" x14ac:dyDescent="0.25"/>
    <row r="577" s="1" customFormat="1" ht="14.25" customHeight="1" x14ac:dyDescent="0.25"/>
    <row r="578" s="1" customFormat="1" ht="14.25" customHeight="1" x14ac:dyDescent="0.25"/>
    <row r="579" s="1" customFormat="1" ht="14.25" customHeight="1" x14ac:dyDescent="0.25"/>
    <row r="580" s="1" customFormat="1" ht="14.25" customHeight="1" x14ac:dyDescent="0.25"/>
    <row r="581" s="1" customFormat="1" ht="14.25" customHeight="1" x14ac:dyDescent="0.25"/>
    <row r="582" s="1" customFormat="1" ht="14.25" customHeight="1" x14ac:dyDescent="0.25"/>
    <row r="583" s="1" customFormat="1" ht="14.25" customHeight="1" x14ac:dyDescent="0.25"/>
    <row r="584" s="1" customFormat="1" ht="14.25" customHeight="1" x14ac:dyDescent="0.25"/>
    <row r="585" s="1" customFormat="1" ht="14.25" customHeight="1" x14ac:dyDescent="0.25"/>
    <row r="586" s="1" customFormat="1" ht="14.25" customHeight="1" x14ac:dyDescent="0.25"/>
    <row r="587" s="1" customFormat="1" ht="14.25" customHeight="1" x14ac:dyDescent="0.25"/>
    <row r="588" s="1" customFormat="1" ht="14.25" customHeight="1" x14ac:dyDescent="0.25"/>
    <row r="589" s="1" customFormat="1" ht="14.25" customHeight="1" x14ac:dyDescent="0.25"/>
    <row r="590" s="1" customFormat="1" ht="14.25" customHeight="1" x14ac:dyDescent="0.25"/>
    <row r="591" s="1" customFormat="1" ht="14.25" customHeight="1" x14ac:dyDescent="0.25"/>
    <row r="592" s="1" customFormat="1" ht="14.25" customHeight="1" x14ac:dyDescent="0.25"/>
    <row r="593" s="1" customFormat="1" ht="14.25" customHeight="1" x14ac:dyDescent="0.25"/>
    <row r="594" s="1" customFormat="1" ht="14.25" customHeight="1" x14ac:dyDescent="0.25"/>
    <row r="595" s="1" customFormat="1" ht="14.25" customHeight="1" x14ac:dyDescent="0.25"/>
    <row r="596" s="1" customFormat="1" ht="14.25" customHeight="1" x14ac:dyDescent="0.25"/>
    <row r="597" s="1" customFormat="1" ht="14.25" customHeight="1" x14ac:dyDescent="0.25"/>
    <row r="598" s="1" customFormat="1" ht="14.25" customHeight="1" x14ac:dyDescent="0.25"/>
    <row r="599" s="1" customFormat="1" ht="14.25" customHeight="1" x14ac:dyDescent="0.25"/>
    <row r="600" s="1" customFormat="1" ht="14.25" customHeight="1" x14ac:dyDescent="0.25"/>
    <row r="601" s="1" customFormat="1" ht="14.25" customHeight="1" x14ac:dyDescent="0.25"/>
    <row r="602" s="1" customFormat="1" ht="14.25" customHeight="1" x14ac:dyDescent="0.25"/>
    <row r="603" s="1" customFormat="1" ht="14.25" customHeight="1" x14ac:dyDescent="0.25"/>
    <row r="604" s="1" customFormat="1" ht="14.25" customHeight="1" x14ac:dyDescent="0.25"/>
    <row r="605" s="1" customFormat="1" ht="14.25" customHeight="1" x14ac:dyDescent="0.25"/>
    <row r="606" s="1" customFormat="1" ht="14.25" customHeight="1" x14ac:dyDescent="0.25"/>
    <row r="607" s="1" customFormat="1" ht="14.25" customHeight="1" x14ac:dyDescent="0.25"/>
    <row r="608" s="1" customFormat="1" ht="14.25" customHeight="1" x14ac:dyDescent="0.25"/>
    <row r="609" s="1" customFormat="1" ht="14.25" customHeight="1" x14ac:dyDescent="0.25"/>
    <row r="610" s="1" customFormat="1" ht="14.25" customHeight="1" x14ac:dyDescent="0.25"/>
    <row r="611" s="1" customFormat="1" ht="14.25" customHeight="1" x14ac:dyDescent="0.25"/>
    <row r="612" s="1" customFormat="1" ht="14.25" customHeight="1" x14ac:dyDescent="0.25"/>
    <row r="613" s="1" customFormat="1" ht="14.25" customHeight="1" x14ac:dyDescent="0.25"/>
    <row r="614" s="1" customFormat="1" ht="14.25" customHeight="1" x14ac:dyDescent="0.25"/>
    <row r="615" s="1" customFormat="1" ht="14.25" customHeight="1" x14ac:dyDescent="0.25"/>
    <row r="616" s="1" customFormat="1" ht="14.25" customHeight="1" x14ac:dyDescent="0.25"/>
    <row r="617" s="1" customFormat="1" ht="14.25" customHeight="1" x14ac:dyDescent="0.25"/>
    <row r="618" s="1" customFormat="1" ht="14.25" customHeight="1" x14ac:dyDescent="0.25"/>
    <row r="619" s="1" customFormat="1" ht="14.25" customHeight="1" x14ac:dyDescent="0.25"/>
    <row r="620" s="1" customFormat="1" ht="14.25" customHeight="1" x14ac:dyDescent="0.25"/>
    <row r="621" s="1" customFormat="1" ht="14.25" customHeight="1" x14ac:dyDescent="0.25"/>
    <row r="622" s="1" customFormat="1" ht="14.25" customHeight="1" x14ac:dyDescent="0.25"/>
    <row r="623" s="1" customFormat="1" ht="14.25" customHeight="1" x14ac:dyDescent="0.25"/>
    <row r="624" s="1" customFormat="1" ht="14.25" customHeight="1" x14ac:dyDescent="0.25"/>
    <row r="625" s="1" customFormat="1" ht="14.25" customHeight="1" x14ac:dyDescent="0.25"/>
    <row r="626" s="1" customFormat="1" ht="14.25" customHeight="1" x14ac:dyDescent="0.25"/>
    <row r="627" s="1" customFormat="1" ht="14.25" customHeight="1" x14ac:dyDescent="0.25"/>
    <row r="628" s="1" customFormat="1" ht="14.25" customHeight="1" x14ac:dyDescent="0.25"/>
    <row r="629" s="1" customFormat="1" ht="14.25" customHeight="1" x14ac:dyDescent="0.25"/>
    <row r="630" s="1" customFormat="1" ht="14.25" customHeight="1" x14ac:dyDescent="0.25"/>
    <row r="631" s="1" customFormat="1" ht="14.25" customHeight="1" x14ac:dyDescent="0.25"/>
    <row r="632" s="1" customFormat="1" ht="14.25" customHeight="1" x14ac:dyDescent="0.25"/>
    <row r="633" s="1" customFormat="1" ht="14.25" customHeight="1" x14ac:dyDescent="0.25"/>
    <row r="634" s="1" customFormat="1" ht="14.25" customHeight="1" x14ac:dyDescent="0.25"/>
    <row r="635" s="1" customFormat="1" ht="14.25" customHeight="1" x14ac:dyDescent="0.25"/>
    <row r="636" s="1" customFormat="1" ht="14.25" customHeight="1" x14ac:dyDescent="0.25"/>
    <row r="637" s="1" customFormat="1" ht="14.25" customHeight="1" x14ac:dyDescent="0.25"/>
    <row r="638" s="1" customFormat="1" ht="14.25" customHeight="1" x14ac:dyDescent="0.25"/>
    <row r="639" s="1" customFormat="1" ht="14.25" customHeight="1" x14ac:dyDescent="0.25"/>
    <row r="640" s="1" customFormat="1" ht="14.25" customHeight="1" x14ac:dyDescent="0.25"/>
    <row r="641" s="1" customFormat="1" ht="14.25" customHeight="1" x14ac:dyDescent="0.25"/>
    <row r="642" s="1" customFormat="1" ht="14.25" customHeight="1" x14ac:dyDescent="0.25"/>
    <row r="643" s="1" customFormat="1" ht="14.25" customHeight="1" x14ac:dyDescent="0.25"/>
    <row r="644" s="1" customFormat="1" ht="14.25" customHeight="1" x14ac:dyDescent="0.25"/>
    <row r="645" s="1" customFormat="1" ht="14.25" customHeight="1" x14ac:dyDescent="0.25"/>
    <row r="646" s="1" customFormat="1" ht="14.25" customHeight="1" x14ac:dyDescent="0.25"/>
    <row r="647" s="1" customFormat="1" ht="14.25" customHeight="1" x14ac:dyDescent="0.25"/>
    <row r="648" s="1" customFormat="1" ht="14.25" customHeight="1" x14ac:dyDescent="0.25"/>
    <row r="649" s="1" customFormat="1" ht="14.25" customHeight="1" x14ac:dyDescent="0.25"/>
    <row r="650" s="1" customFormat="1" ht="14.25" customHeight="1" x14ac:dyDescent="0.25"/>
    <row r="651" s="1" customFormat="1" ht="14.25" customHeight="1" x14ac:dyDescent="0.25"/>
    <row r="652" s="1" customFormat="1" ht="14.25" customHeight="1" x14ac:dyDescent="0.25"/>
    <row r="653" s="1" customFormat="1" ht="14.25" customHeight="1" x14ac:dyDescent="0.25"/>
    <row r="654" s="1" customFormat="1" ht="14.25" customHeight="1" x14ac:dyDescent="0.25"/>
    <row r="655" s="1" customFormat="1" ht="14.25" customHeight="1" x14ac:dyDescent="0.25"/>
    <row r="656" s="1" customFormat="1" ht="14.25" customHeight="1" x14ac:dyDescent="0.25"/>
    <row r="657" s="1" customFormat="1" ht="14.25" customHeight="1" x14ac:dyDescent="0.25"/>
    <row r="658" s="1" customFormat="1" ht="14.25" customHeight="1" x14ac:dyDescent="0.25"/>
    <row r="659" s="1" customFormat="1" ht="14.25" customHeight="1" x14ac:dyDescent="0.25"/>
    <row r="660" s="1" customFormat="1" ht="14.25" customHeight="1" x14ac:dyDescent="0.25"/>
    <row r="661" s="1" customFormat="1" ht="14.25" customHeight="1" x14ac:dyDescent="0.25"/>
    <row r="662" s="1" customFormat="1" ht="14.25" customHeight="1" x14ac:dyDescent="0.25"/>
    <row r="663" s="1" customFormat="1" ht="14.25" customHeight="1" x14ac:dyDescent="0.25"/>
    <row r="664" s="1" customFormat="1" ht="14.25" customHeight="1" x14ac:dyDescent="0.25"/>
    <row r="665" s="1" customFormat="1" ht="14.25" customHeight="1" x14ac:dyDescent="0.25"/>
    <row r="666" s="1" customFormat="1" ht="14.25" customHeight="1" x14ac:dyDescent="0.25"/>
    <row r="667" s="1" customFormat="1" ht="14.25" customHeight="1" x14ac:dyDescent="0.25"/>
    <row r="668" s="1" customFormat="1" ht="14.25" customHeight="1" x14ac:dyDescent="0.25"/>
    <row r="669" s="1" customFormat="1" ht="14.25" customHeight="1" x14ac:dyDescent="0.25"/>
    <row r="670" s="1" customFormat="1" ht="14.25" customHeight="1" x14ac:dyDescent="0.25"/>
    <row r="671" s="1" customFormat="1" ht="14.25" customHeight="1" x14ac:dyDescent="0.25"/>
    <row r="672" s="1" customFormat="1" ht="14.25" customHeight="1" x14ac:dyDescent="0.25"/>
    <row r="673" s="1" customFormat="1" ht="14.25" customHeight="1" x14ac:dyDescent="0.25"/>
    <row r="674" s="1" customFormat="1" ht="14.25" customHeight="1" x14ac:dyDescent="0.25"/>
    <row r="675" s="1" customFormat="1" ht="14.25" customHeight="1" x14ac:dyDescent="0.25"/>
    <row r="676" s="1" customFormat="1" ht="14.25" customHeight="1" x14ac:dyDescent="0.25"/>
    <row r="677" s="1" customFormat="1" ht="14.25" customHeight="1" x14ac:dyDescent="0.25"/>
    <row r="678" s="1" customFormat="1" ht="14.25" customHeight="1" x14ac:dyDescent="0.25"/>
    <row r="679" s="1" customFormat="1" ht="14.25" customHeight="1" x14ac:dyDescent="0.25"/>
    <row r="680" s="1" customFormat="1" ht="14.25" customHeight="1" x14ac:dyDescent="0.25"/>
    <row r="681" s="1" customFormat="1" ht="14.25" customHeight="1" x14ac:dyDescent="0.25"/>
    <row r="682" s="1" customFormat="1" ht="14.25" customHeight="1" x14ac:dyDescent="0.25"/>
    <row r="683" s="1" customFormat="1" ht="14.25" customHeight="1" x14ac:dyDescent="0.25"/>
    <row r="684" s="1" customFormat="1" ht="14.25" customHeight="1" x14ac:dyDescent="0.25"/>
    <row r="685" s="1" customFormat="1" ht="14.25" customHeight="1" x14ac:dyDescent="0.25"/>
    <row r="686" s="1" customFormat="1" ht="14.25" customHeight="1" x14ac:dyDescent="0.25"/>
    <row r="687" s="1" customFormat="1" ht="14.25" customHeight="1" x14ac:dyDescent="0.25"/>
    <row r="688" s="1" customFormat="1" ht="14.25" customHeight="1" x14ac:dyDescent="0.25"/>
    <row r="689" s="1" customFormat="1" ht="14.25" customHeight="1" x14ac:dyDescent="0.25"/>
    <row r="690" s="1" customFormat="1" ht="14.25" customHeight="1" x14ac:dyDescent="0.25"/>
    <row r="691" s="1" customFormat="1" ht="14.25" customHeight="1" x14ac:dyDescent="0.25"/>
    <row r="692" s="1" customFormat="1" ht="14.25" customHeight="1" x14ac:dyDescent="0.25"/>
    <row r="693" s="1" customFormat="1" ht="14.25" customHeight="1" x14ac:dyDescent="0.25"/>
    <row r="694" s="1" customFormat="1" ht="14.25" customHeight="1" x14ac:dyDescent="0.25"/>
    <row r="695" s="1" customFormat="1" ht="14.25" customHeight="1" x14ac:dyDescent="0.25"/>
    <row r="696" s="1" customFormat="1" ht="14.25" customHeight="1" x14ac:dyDescent="0.25"/>
    <row r="697" s="1" customFormat="1" ht="14.25" customHeight="1" x14ac:dyDescent="0.25"/>
    <row r="698" s="1" customFormat="1" ht="14.25" customHeight="1" x14ac:dyDescent="0.25"/>
    <row r="699" s="1" customFormat="1" ht="14.25" customHeight="1" x14ac:dyDescent="0.25"/>
    <row r="700" s="1" customFormat="1" ht="14.25" customHeight="1" x14ac:dyDescent="0.25"/>
    <row r="701" s="1" customFormat="1" ht="14.25" customHeight="1" x14ac:dyDescent="0.25"/>
    <row r="702" s="1" customFormat="1" ht="14.25" customHeight="1" x14ac:dyDescent="0.25"/>
    <row r="703" s="1" customFormat="1" ht="14.25" customHeight="1" x14ac:dyDescent="0.25"/>
    <row r="704" s="1" customFormat="1" ht="14.25" customHeight="1" x14ac:dyDescent="0.25"/>
    <row r="705" s="1" customFormat="1" ht="14.25" customHeight="1" x14ac:dyDescent="0.25"/>
    <row r="706" s="1" customFormat="1" ht="14.25" customHeight="1" x14ac:dyDescent="0.25"/>
    <row r="707" s="1" customFormat="1" ht="14.25" customHeight="1" x14ac:dyDescent="0.25"/>
    <row r="708" s="1" customFormat="1" ht="14.25" customHeight="1" x14ac:dyDescent="0.25"/>
    <row r="709" s="1" customFormat="1" ht="14.25" customHeight="1" x14ac:dyDescent="0.25"/>
    <row r="710" s="1" customFormat="1" ht="14.25" customHeight="1" x14ac:dyDescent="0.25"/>
    <row r="711" s="1" customFormat="1" ht="14.25" customHeight="1" x14ac:dyDescent="0.25"/>
    <row r="712" s="1" customFormat="1" ht="14.25" customHeight="1" x14ac:dyDescent="0.25"/>
    <row r="713" s="1" customFormat="1" ht="14.25" customHeight="1" x14ac:dyDescent="0.25"/>
    <row r="714" s="1" customFormat="1" ht="14.25" customHeight="1" x14ac:dyDescent="0.25"/>
    <row r="715" s="1" customFormat="1" ht="14.25" customHeight="1" x14ac:dyDescent="0.25"/>
    <row r="716" s="1" customFormat="1" ht="14.25" customHeight="1" x14ac:dyDescent="0.25"/>
    <row r="717" s="1" customFormat="1" ht="14.25" customHeight="1" x14ac:dyDescent="0.25"/>
    <row r="718" s="1" customFormat="1" ht="14.25" customHeight="1" x14ac:dyDescent="0.25"/>
    <row r="719" s="1" customFormat="1" ht="14.25" customHeight="1" x14ac:dyDescent="0.25"/>
    <row r="720" s="1" customFormat="1" ht="14.25" customHeight="1" x14ac:dyDescent="0.25"/>
    <row r="721" s="1" customFormat="1" ht="14.25" customHeight="1" x14ac:dyDescent="0.25"/>
    <row r="722" s="1" customFormat="1" ht="14.25" customHeight="1" x14ac:dyDescent="0.25"/>
    <row r="723" s="1" customFormat="1" ht="14.25" customHeight="1" x14ac:dyDescent="0.25"/>
    <row r="724" s="1" customFormat="1" ht="14.25" customHeight="1" x14ac:dyDescent="0.25"/>
    <row r="725" s="1" customFormat="1" ht="14.25" customHeight="1" x14ac:dyDescent="0.25"/>
    <row r="726" s="1" customFormat="1" ht="14.25" customHeight="1" x14ac:dyDescent="0.25"/>
    <row r="727" s="1" customFormat="1" ht="14.25" customHeight="1" x14ac:dyDescent="0.25"/>
    <row r="728" s="1" customFormat="1" ht="14.25" customHeight="1" x14ac:dyDescent="0.25"/>
    <row r="729" s="1" customFormat="1" ht="14.25" customHeight="1" x14ac:dyDescent="0.25"/>
    <row r="730" s="1" customFormat="1" ht="14.25" customHeight="1" x14ac:dyDescent="0.25"/>
    <row r="731" s="1" customFormat="1" ht="14.25" customHeight="1" x14ac:dyDescent="0.25"/>
    <row r="732" s="1" customFormat="1" ht="14.25" customHeight="1" x14ac:dyDescent="0.25"/>
    <row r="733" s="1" customFormat="1" ht="14.25" customHeight="1" x14ac:dyDescent="0.25"/>
    <row r="734" s="1" customFormat="1" ht="14.25" customHeight="1" x14ac:dyDescent="0.25"/>
    <row r="735" s="1" customFormat="1" ht="14.25" customHeight="1" x14ac:dyDescent="0.25"/>
    <row r="736" s="1" customFormat="1" ht="14.25" customHeight="1" x14ac:dyDescent="0.25"/>
    <row r="737" s="1" customFormat="1" ht="14.25" customHeight="1" x14ac:dyDescent="0.25"/>
    <row r="738" s="1" customFormat="1" ht="14.25" customHeight="1" x14ac:dyDescent="0.25"/>
    <row r="739" s="1" customFormat="1" ht="14.25" customHeight="1" x14ac:dyDescent="0.25"/>
    <row r="740" s="1" customFormat="1" ht="14.25" customHeight="1" x14ac:dyDescent="0.25"/>
    <row r="741" s="1" customFormat="1" ht="14.25" customHeight="1" x14ac:dyDescent="0.25"/>
    <row r="742" s="1" customFormat="1" ht="14.25" customHeight="1" x14ac:dyDescent="0.25"/>
    <row r="743" s="1" customFormat="1" ht="14.25" customHeight="1" x14ac:dyDescent="0.25"/>
    <row r="744" s="1" customFormat="1" ht="14.25" customHeight="1" x14ac:dyDescent="0.25"/>
    <row r="745" s="1" customFormat="1" ht="14.25" customHeight="1" x14ac:dyDescent="0.25"/>
    <row r="746" s="1" customFormat="1" ht="14.25" customHeight="1" x14ac:dyDescent="0.25"/>
    <row r="747" s="1" customFormat="1" ht="14.25" customHeight="1" x14ac:dyDescent="0.25"/>
    <row r="748" s="1" customFormat="1" ht="14.25" customHeight="1" x14ac:dyDescent="0.25"/>
    <row r="749" s="1" customFormat="1" ht="14.25" customHeight="1" x14ac:dyDescent="0.25"/>
    <row r="750" s="1" customFormat="1" ht="14.25" customHeight="1" x14ac:dyDescent="0.25"/>
    <row r="751" s="1" customFormat="1" ht="14.25" customHeight="1" x14ac:dyDescent="0.25"/>
    <row r="752" s="1" customFormat="1" ht="14.25" customHeight="1" x14ac:dyDescent="0.25"/>
    <row r="753" s="1" customFormat="1" ht="14.25" customHeight="1" x14ac:dyDescent="0.25"/>
    <row r="754" s="1" customFormat="1" ht="14.25" customHeight="1" x14ac:dyDescent="0.25"/>
    <row r="755" s="1" customFormat="1" ht="14.25" customHeight="1" x14ac:dyDescent="0.25"/>
    <row r="756" s="1" customFormat="1" ht="14.25" customHeight="1" x14ac:dyDescent="0.25"/>
    <row r="757" s="1" customFormat="1" ht="14.25" customHeight="1" x14ac:dyDescent="0.25"/>
    <row r="758" s="1" customFormat="1" ht="14.25" customHeight="1" x14ac:dyDescent="0.25"/>
    <row r="759" s="1" customFormat="1" ht="14.25" customHeight="1" x14ac:dyDescent="0.25"/>
    <row r="760" s="1" customFormat="1" ht="14.25" customHeight="1" x14ac:dyDescent="0.25"/>
    <row r="761" s="1" customFormat="1" ht="14.25" customHeight="1" x14ac:dyDescent="0.25"/>
    <row r="762" s="1" customFormat="1" ht="14.25" customHeight="1" x14ac:dyDescent="0.25"/>
    <row r="763" s="1" customFormat="1" ht="14.25" customHeight="1" x14ac:dyDescent="0.25"/>
    <row r="764" s="1" customFormat="1" ht="14.25" customHeight="1" x14ac:dyDescent="0.25"/>
    <row r="765" s="1" customFormat="1" ht="14.25" customHeight="1" x14ac:dyDescent="0.25"/>
    <row r="766" s="1" customFormat="1" ht="14.25" customHeight="1" x14ac:dyDescent="0.25"/>
    <row r="767" s="1" customFormat="1" ht="14.25" customHeight="1" x14ac:dyDescent="0.25"/>
    <row r="768" s="1" customFormat="1" ht="14.25" customHeight="1" x14ac:dyDescent="0.25"/>
    <row r="769" s="1" customFormat="1" ht="14.25" customHeight="1" x14ac:dyDescent="0.25"/>
    <row r="770" s="1" customFormat="1" ht="14.25" customHeight="1" x14ac:dyDescent="0.25"/>
    <row r="771" s="1" customFormat="1" ht="14.25" customHeight="1" x14ac:dyDescent="0.25"/>
    <row r="772" s="1" customFormat="1" ht="14.25" customHeight="1" x14ac:dyDescent="0.25"/>
    <row r="773" s="1" customFormat="1" ht="14.25" customHeight="1" x14ac:dyDescent="0.25"/>
    <row r="774" s="1" customFormat="1" ht="14.25" customHeight="1" x14ac:dyDescent="0.25"/>
    <row r="775" s="1" customFormat="1" ht="14.25" customHeight="1" x14ac:dyDescent="0.25"/>
    <row r="776" s="1" customFormat="1" ht="14.25" customHeight="1" x14ac:dyDescent="0.25"/>
    <row r="777" s="1" customFormat="1" ht="14.25" customHeight="1" x14ac:dyDescent="0.25"/>
    <row r="778" s="1" customFormat="1" ht="14.25" customHeight="1" x14ac:dyDescent="0.25"/>
    <row r="779" s="1" customFormat="1" ht="14.25" customHeight="1" x14ac:dyDescent="0.25"/>
    <row r="780" s="1" customFormat="1" ht="14.25" customHeight="1" x14ac:dyDescent="0.25"/>
    <row r="781" s="1" customFormat="1" ht="14.25" customHeight="1" x14ac:dyDescent="0.25"/>
    <row r="782" s="1" customFormat="1" ht="14.25" customHeight="1" x14ac:dyDescent="0.25"/>
    <row r="783" s="1" customFormat="1" ht="14.25" customHeight="1" x14ac:dyDescent="0.25"/>
    <row r="784" s="1" customFormat="1" ht="14.25" customHeight="1" x14ac:dyDescent="0.25"/>
    <row r="785" s="1" customFormat="1" ht="14.25" customHeight="1" x14ac:dyDescent="0.25"/>
    <row r="786" s="1" customFormat="1" ht="14.25" customHeight="1" x14ac:dyDescent="0.25"/>
    <row r="787" s="1" customFormat="1" ht="14.25" customHeight="1" x14ac:dyDescent="0.25"/>
    <row r="788" s="1" customFormat="1" ht="14.25" customHeight="1" x14ac:dyDescent="0.25"/>
    <row r="789" s="1" customFormat="1" ht="14.25" customHeight="1" x14ac:dyDescent="0.25"/>
    <row r="790" s="1" customFormat="1" ht="14.25" customHeight="1" x14ac:dyDescent="0.25"/>
    <row r="791" s="1" customFormat="1" ht="14.25" customHeight="1" x14ac:dyDescent="0.25"/>
    <row r="792" s="1" customFormat="1" ht="14.25" customHeight="1" x14ac:dyDescent="0.25"/>
    <row r="793" s="1" customFormat="1" ht="14.25" customHeight="1" x14ac:dyDescent="0.25"/>
    <row r="794" s="1" customFormat="1" ht="14.25" customHeight="1" x14ac:dyDescent="0.25"/>
    <row r="795" s="1" customFormat="1" ht="14.25" customHeight="1" x14ac:dyDescent="0.25"/>
    <row r="796" s="1" customFormat="1" ht="14.25" customHeight="1" x14ac:dyDescent="0.25"/>
    <row r="797" s="1" customFormat="1" ht="14.25" customHeight="1" x14ac:dyDescent="0.25"/>
    <row r="798" s="1" customFormat="1" ht="14.25" customHeight="1" x14ac:dyDescent="0.25"/>
    <row r="799" s="1" customFormat="1" ht="14.25" customHeight="1" x14ac:dyDescent="0.25"/>
    <row r="800" s="1" customFormat="1" ht="14.25" customHeight="1" x14ac:dyDescent="0.25"/>
    <row r="801" s="1" customFormat="1" ht="14.25" customHeight="1" x14ac:dyDescent="0.25"/>
    <row r="802" s="1" customFormat="1" ht="14.25" customHeight="1" x14ac:dyDescent="0.25"/>
    <row r="803" s="1" customFormat="1" ht="14.25" customHeight="1" x14ac:dyDescent="0.25"/>
    <row r="804" s="1" customFormat="1" ht="14.25" customHeight="1" x14ac:dyDescent="0.25"/>
    <row r="805" s="1" customFormat="1" ht="14.25" customHeight="1" x14ac:dyDescent="0.25"/>
    <row r="806" s="1" customFormat="1" ht="14.25" customHeight="1" x14ac:dyDescent="0.25"/>
    <row r="807" s="1" customFormat="1" ht="14.25" customHeight="1" x14ac:dyDescent="0.25"/>
    <row r="808" s="1" customFormat="1" ht="14.25" customHeight="1" x14ac:dyDescent="0.25"/>
    <row r="809" s="1" customFormat="1" ht="14.25" customHeight="1" x14ac:dyDescent="0.25"/>
    <row r="810" s="1" customFormat="1" ht="14.25" customHeight="1" x14ac:dyDescent="0.25"/>
    <row r="811" s="1" customFormat="1" ht="14.25" customHeight="1" x14ac:dyDescent="0.25"/>
    <row r="812" s="1" customFormat="1" ht="14.25" customHeight="1" x14ac:dyDescent="0.25"/>
    <row r="813" s="1" customFormat="1" ht="14.25" customHeight="1" x14ac:dyDescent="0.25"/>
    <row r="814" s="1" customFormat="1" ht="14.25" customHeight="1" x14ac:dyDescent="0.25"/>
    <row r="815" s="1" customFormat="1" ht="14.25" customHeight="1" x14ac:dyDescent="0.25"/>
    <row r="816" s="1" customFormat="1" ht="14.25" customHeight="1" x14ac:dyDescent="0.25"/>
    <row r="817" s="1" customFormat="1" ht="14.25" customHeight="1" x14ac:dyDescent="0.25"/>
    <row r="818" s="1" customFormat="1" ht="14.25" customHeight="1" x14ac:dyDescent="0.25"/>
    <row r="819" s="1" customFormat="1" ht="14.25" customHeight="1" x14ac:dyDescent="0.25"/>
    <row r="820" s="1" customFormat="1" ht="14.25" customHeight="1" x14ac:dyDescent="0.25"/>
    <row r="821" s="1" customFormat="1" ht="14.25" customHeight="1" x14ac:dyDescent="0.25"/>
    <row r="822" s="1" customFormat="1" ht="14.25" customHeight="1" x14ac:dyDescent="0.25"/>
    <row r="823" s="1" customFormat="1" ht="14.25" customHeight="1" x14ac:dyDescent="0.25"/>
    <row r="824" s="1" customFormat="1" ht="14.25" customHeight="1" x14ac:dyDescent="0.25"/>
    <row r="825" s="1" customFormat="1" ht="14.25" customHeight="1" x14ac:dyDescent="0.25"/>
    <row r="826" s="1" customFormat="1" ht="14.25" customHeight="1" x14ac:dyDescent="0.25"/>
    <row r="827" s="1" customFormat="1" ht="14.25" customHeight="1" x14ac:dyDescent="0.25"/>
    <row r="828" s="1" customFormat="1" ht="14.25" customHeight="1" x14ac:dyDescent="0.25"/>
    <row r="829" s="1" customFormat="1" ht="14.25" customHeight="1" x14ac:dyDescent="0.25"/>
    <row r="830" s="1" customFormat="1" ht="14.25" customHeight="1" x14ac:dyDescent="0.25"/>
    <row r="831" s="1" customFormat="1" ht="14.25" customHeight="1" x14ac:dyDescent="0.25"/>
    <row r="832" s="1" customFormat="1" ht="14.25" customHeight="1" x14ac:dyDescent="0.25"/>
    <row r="833" s="1" customFormat="1" ht="14.25" customHeight="1" x14ac:dyDescent="0.25"/>
    <row r="834" s="1" customFormat="1" ht="14.25" customHeight="1" x14ac:dyDescent="0.25"/>
    <row r="835" s="1" customFormat="1" ht="14.25" customHeight="1" x14ac:dyDescent="0.25"/>
    <row r="836" s="1" customFormat="1" ht="14.25" customHeight="1" x14ac:dyDescent="0.25"/>
    <row r="837" s="1" customFormat="1" ht="14.25" customHeight="1" x14ac:dyDescent="0.25"/>
    <row r="838" s="1" customFormat="1" ht="14.25" customHeight="1" x14ac:dyDescent="0.25"/>
    <row r="839" s="1" customFormat="1" ht="14.25" customHeight="1" x14ac:dyDescent="0.25"/>
    <row r="840" s="1" customFormat="1" ht="14.25" customHeight="1" x14ac:dyDescent="0.25"/>
    <row r="841" s="1" customFormat="1" ht="14.25" customHeight="1" x14ac:dyDescent="0.25"/>
    <row r="842" s="1" customFormat="1" ht="14.25" customHeight="1" x14ac:dyDescent="0.25"/>
    <row r="843" s="1" customFormat="1" ht="14.25" customHeight="1" x14ac:dyDescent="0.25"/>
    <row r="844" s="1" customFormat="1" ht="14.25" customHeight="1" x14ac:dyDescent="0.25"/>
    <row r="845" s="1" customFormat="1" ht="14.25" customHeight="1" x14ac:dyDescent="0.25"/>
    <row r="846" s="1" customFormat="1" ht="14.25" customHeight="1" x14ac:dyDescent="0.25"/>
    <row r="847" s="1" customFormat="1" ht="14.25" customHeight="1" x14ac:dyDescent="0.25"/>
    <row r="848" s="1" customFormat="1" ht="14.25" customHeight="1" x14ac:dyDescent="0.25"/>
    <row r="849" s="1" customFormat="1" ht="14.25" customHeight="1" x14ac:dyDescent="0.25"/>
    <row r="850" s="1" customFormat="1" ht="14.25" customHeight="1" x14ac:dyDescent="0.25"/>
    <row r="851" s="1" customFormat="1" ht="14.25" customHeight="1" x14ac:dyDescent="0.25"/>
    <row r="852" s="1" customFormat="1" ht="14.25" customHeight="1" x14ac:dyDescent="0.25"/>
    <row r="853" s="1" customFormat="1" ht="14.25" customHeight="1" x14ac:dyDescent="0.25"/>
    <row r="854" s="1" customFormat="1" ht="14.25" customHeight="1" x14ac:dyDescent="0.25"/>
    <row r="855" s="1" customFormat="1" ht="14.25" customHeight="1" x14ac:dyDescent="0.25"/>
    <row r="856" s="1" customFormat="1" ht="14.25" customHeight="1" x14ac:dyDescent="0.25"/>
    <row r="857" s="1" customFormat="1" ht="14.25" customHeight="1" x14ac:dyDescent="0.25"/>
    <row r="858" s="1" customFormat="1" ht="14.25" customHeight="1" x14ac:dyDescent="0.25"/>
    <row r="859" s="1" customFormat="1" ht="14.25" customHeight="1" x14ac:dyDescent="0.25"/>
    <row r="860" s="1" customFormat="1" ht="14.25" customHeight="1" x14ac:dyDescent="0.25"/>
    <row r="861" s="1" customFormat="1" ht="14.25" customHeight="1" x14ac:dyDescent="0.25"/>
    <row r="862" s="1" customFormat="1" ht="14.25" customHeight="1" x14ac:dyDescent="0.25"/>
    <row r="863" s="1" customFormat="1" ht="14.25" customHeight="1" x14ac:dyDescent="0.25"/>
    <row r="864" s="1" customFormat="1" ht="14.25" customHeight="1" x14ac:dyDescent="0.25"/>
    <row r="865" s="1" customFormat="1" ht="14.25" customHeight="1" x14ac:dyDescent="0.25"/>
    <row r="866" s="1" customFormat="1" ht="14.25" customHeight="1" x14ac:dyDescent="0.25"/>
    <row r="867" s="1" customFormat="1" ht="14.25" customHeight="1" x14ac:dyDescent="0.25"/>
    <row r="868" s="1" customFormat="1" ht="14.25" customHeight="1" x14ac:dyDescent="0.25"/>
    <row r="869" s="1" customFormat="1" ht="14.25" customHeight="1" x14ac:dyDescent="0.25"/>
    <row r="870" s="1" customFormat="1" ht="14.25" customHeight="1" x14ac:dyDescent="0.25"/>
    <row r="871" s="1" customFormat="1" ht="14.25" customHeight="1" x14ac:dyDescent="0.25"/>
    <row r="872" s="1" customFormat="1" ht="14.25" customHeight="1" x14ac:dyDescent="0.25"/>
    <row r="873" s="1" customFormat="1" ht="14.25" customHeight="1" x14ac:dyDescent="0.25"/>
    <row r="874" s="1" customFormat="1" ht="14.25" customHeight="1" x14ac:dyDescent="0.25"/>
    <row r="875" s="1" customFormat="1" ht="14.25" customHeight="1" x14ac:dyDescent="0.25"/>
    <row r="876" s="1" customFormat="1" ht="14.25" customHeight="1" x14ac:dyDescent="0.25"/>
    <row r="877" s="1" customFormat="1" ht="14.25" customHeight="1" x14ac:dyDescent="0.25"/>
    <row r="878" s="1" customFormat="1" ht="14.25" customHeight="1" x14ac:dyDescent="0.25"/>
    <row r="879" s="1" customFormat="1" ht="14.25" customHeight="1" x14ac:dyDescent="0.25"/>
    <row r="880" s="1" customFormat="1" ht="14.25" customHeight="1" x14ac:dyDescent="0.25"/>
    <row r="881" s="1" customFormat="1" ht="14.25" customHeight="1" x14ac:dyDescent="0.25"/>
    <row r="882" s="1" customFormat="1" ht="14.25" customHeight="1" x14ac:dyDescent="0.25"/>
    <row r="883" s="1" customFormat="1" ht="14.25" customHeight="1" x14ac:dyDescent="0.25"/>
    <row r="884" s="1" customFormat="1" ht="14.25" customHeight="1" x14ac:dyDescent="0.25"/>
    <row r="885" s="1" customFormat="1" ht="14.25" customHeight="1" x14ac:dyDescent="0.25"/>
    <row r="886" s="1" customFormat="1" ht="14.25" customHeight="1" x14ac:dyDescent="0.25"/>
    <row r="887" s="1" customFormat="1" ht="14.25" customHeight="1" x14ac:dyDescent="0.25"/>
    <row r="888" s="1" customFormat="1" ht="14.25" customHeight="1" x14ac:dyDescent="0.25"/>
    <row r="889" s="1" customFormat="1" ht="14.25" customHeight="1" x14ac:dyDescent="0.25"/>
    <row r="890" s="1" customFormat="1" ht="14.25" customHeight="1" x14ac:dyDescent="0.25"/>
    <row r="891" s="1" customFormat="1" ht="14.25" customHeight="1" x14ac:dyDescent="0.25"/>
    <row r="892" s="1" customFormat="1" ht="14.25" customHeight="1" x14ac:dyDescent="0.25"/>
    <row r="893" s="1" customFormat="1" ht="14.25" customHeight="1" x14ac:dyDescent="0.25"/>
    <row r="894" s="1" customFormat="1" ht="14.25" customHeight="1" x14ac:dyDescent="0.25"/>
    <row r="895" s="1" customFormat="1" ht="14.25" customHeight="1" x14ac:dyDescent="0.25"/>
    <row r="896" s="1" customFormat="1" ht="14.25" customHeight="1" x14ac:dyDescent="0.25"/>
    <row r="897" s="1" customFormat="1" ht="14.25" customHeight="1" x14ac:dyDescent="0.25"/>
    <row r="898" s="1" customFormat="1" ht="14.25" customHeight="1" x14ac:dyDescent="0.25"/>
    <row r="899" s="1" customFormat="1" ht="14.25" customHeight="1" x14ac:dyDescent="0.25"/>
    <row r="900" s="1" customFormat="1" ht="14.25" customHeight="1" x14ac:dyDescent="0.25"/>
    <row r="901" s="1" customFormat="1" ht="14.25" customHeight="1" x14ac:dyDescent="0.25"/>
    <row r="902" s="1" customFormat="1" ht="14.25" customHeight="1" x14ac:dyDescent="0.25"/>
    <row r="903" s="1" customFormat="1" ht="14.25" customHeight="1" x14ac:dyDescent="0.25"/>
    <row r="904" s="1" customFormat="1" ht="14.25" customHeight="1" x14ac:dyDescent="0.25"/>
    <row r="905" s="1" customFormat="1" ht="14.25" customHeight="1" x14ac:dyDescent="0.25"/>
    <row r="906" s="1" customFormat="1" ht="14.25" customHeight="1" x14ac:dyDescent="0.25"/>
    <row r="907" s="1" customFormat="1" ht="14.25" customHeight="1" x14ac:dyDescent="0.25"/>
    <row r="908" s="1" customFormat="1" ht="14.25" customHeight="1" x14ac:dyDescent="0.25"/>
    <row r="909" s="1" customFormat="1" ht="14.25" customHeight="1" x14ac:dyDescent="0.25"/>
    <row r="910" s="1" customFormat="1" ht="14.25" customHeight="1" x14ac:dyDescent="0.25"/>
    <row r="911" s="1" customFormat="1" ht="14.25" customHeight="1" x14ac:dyDescent="0.25"/>
    <row r="912" s="1" customFormat="1" ht="14.25" customHeight="1" x14ac:dyDescent="0.25"/>
    <row r="913" s="1" customFormat="1" ht="14.25" customHeight="1" x14ac:dyDescent="0.25"/>
    <row r="914" s="1" customFormat="1" ht="14.25" customHeight="1" x14ac:dyDescent="0.25"/>
    <row r="915" s="1" customFormat="1" ht="14.25" customHeight="1" x14ac:dyDescent="0.25"/>
    <row r="916" s="1" customFormat="1" ht="14.25" customHeight="1" x14ac:dyDescent="0.25"/>
    <row r="917" s="1" customFormat="1" ht="14.25" customHeight="1" x14ac:dyDescent="0.25"/>
    <row r="918" s="1" customFormat="1" ht="14.25" customHeight="1" x14ac:dyDescent="0.25"/>
    <row r="919" s="1" customFormat="1" ht="14.25" customHeight="1" x14ac:dyDescent="0.25"/>
    <row r="920" s="1" customFormat="1" ht="14.25" customHeight="1" x14ac:dyDescent="0.25"/>
    <row r="921" s="1" customFormat="1" ht="14.25" customHeight="1" x14ac:dyDescent="0.25"/>
    <row r="922" s="1" customFormat="1" ht="14.25" customHeight="1" x14ac:dyDescent="0.25"/>
    <row r="923" s="1" customFormat="1" ht="14.25" customHeight="1" x14ac:dyDescent="0.25"/>
    <row r="924" s="1" customFormat="1" ht="14.25" customHeight="1" x14ac:dyDescent="0.25"/>
    <row r="925" s="1" customFormat="1" ht="14.25" customHeight="1" x14ac:dyDescent="0.25"/>
    <row r="926" s="1" customFormat="1" ht="14.25" customHeight="1" x14ac:dyDescent="0.25"/>
    <row r="927" s="1" customFormat="1" ht="14.25" customHeight="1" x14ac:dyDescent="0.25"/>
    <row r="928" s="1" customFormat="1" ht="14.25" customHeight="1" x14ac:dyDescent="0.25"/>
    <row r="929" s="1" customFormat="1" ht="14.25" customHeight="1" x14ac:dyDescent="0.25"/>
    <row r="930" s="1" customFormat="1" ht="14.25" customHeight="1" x14ac:dyDescent="0.25"/>
    <row r="931" s="1" customFormat="1" ht="14.25" customHeight="1" x14ac:dyDescent="0.25"/>
    <row r="932" s="1" customFormat="1" ht="14.25" customHeight="1" x14ac:dyDescent="0.25"/>
    <row r="933" s="1" customFormat="1" ht="14.25" customHeight="1" x14ac:dyDescent="0.25"/>
    <row r="934" s="1" customFormat="1" ht="14.25" customHeight="1" x14ac:dyDescent="0.25"/>
    <row r="935" s="1" customFormat="1" ht="14.25" customHeight="1" x14ac:dyDescent="0.25"/>
    <row r="936" s="1" customFormat="1" ht="14.25" customHeight="1" x14ac:dyDescent="0.25"/>
    <row r="937" s="1" customFormat="1" ht="14.25" customHeight="1" x14ac:dyDescent="0.25"/>
    <row r="938" s="1" customFormat="1" ht="14.25" customHeight="1" x14ac:dyDescent="0.25"/>
    <row r="939" s="1" customFormat="1" ht="14.25" customHeight="1" x14ac:dyDescent="0.25"/>
    <row r="940" s="1" customFormat="1" ht="14.25" customHeight="1" x14ac:dyDescent="0.25"/>
    <row r="941" s="1" customFormat="1" ht="14.25" customHeight="1" x14ac:dyDescent="0.25"/>
    <row r="942" s="1" customFormat="1" ht="14.25" customHeight="1" x14ac:dyDescent="0.25"/>
    <row r="943" s="1" customFormat="1" ht="14.25" customHeight="1" x14ac:dyDescent="0.25"/>
    <row r="944" s="1" customFormat="1" ht="14.25" customHeight="1" x14ac:dyDescent="0.25"/>
    <row r="945" s="1" customFormat="1" ht="14.25" customHeight="1" x14ac:dyDescent="0.25"/>
    <row r="946" s="1" customFormat="1" ht="14.25" customHeight="1" x14ac:dyDescent="0.25"/>
    <row r="947" s="1" customFormat="1" ht="14.25" customHeight="1" x14ac:dyDescent="0.25"/>
    <row r="948" s="1" customFormat="1" ht="14.25" customHeight="1" x14ac:dyDescent="0.25"/>
    <row r="949" s="1" customFormat="1" ht="14.25" customHeight="1" x14ac:dyDescent="0.25"/>
    <row r="950" s="1" customFormat="1" ht="14.25" customHeight="1" x14ac:dyDescent="0.25"/>
    <row r="951" s="1" customFormat="1" ht="14.25" customHeight="1" x14ac:dyDescent="0.25"/>
    <row r="952" s="1" customFormat="1" ht="14.25" customHeight="1" x14ac:dyDescent="0.25"/>
    <row r="953" s="1" customFormat="1" ht="14.25" customHeight="1" x14ac:dyDescent="0.25"/>
    <row r="954" s="1" customFormat="1" ht="14.25" customHeight="1" x14ac:dyDescent="0.25"/>
    <row r="955" s="1" customFormat="1" ht="14.25" customHeight="1" x14ac:dyDescent="0.25"/>
    <row r="956" s="1" customFormat="1" ht="14.25" customHeight="1" x14ac:dyDescent="0.25"/>
    <row r="957" s="1" customFormat="1" ht="14.25" customHeight="1" x14ac:dyDescent="0.25"/>
    <row r="958" s="1" customFormat="1" ht="14.25" customHeight="1" x14ac:dyDescent="0.25"/>
    <row r="959" s="1" customFormat="1" ht="14.25" customHeight="1" x14ac:dyDescent="0.25"/>
    <row r="960" s="1" customFormat="1" ht="14.25" customHeight="1" x14ac:dyDescent="0.25"/>
    <row r="961" s="1" customFormat="1" ht="14.25" customHeight="1" x14ac:dyDescent="0.25"/>
    <row r="962" s="1" customFormat="1" ht="14.25" customHeight="1" x14ac:dyDescent="0.25"/>
    <row r="963" s="1" customFormat="1" ht="14.25" customHeight="1" x14ac:dyDescent="0.25"/>
    <row r="964" s="1" customFormat="1" ht="14.25" customHeight="1" x14ac:dyDescent="0.25"/>
    <row r="965" s="1" customFormat="1" ht="14.25" customHeight="1" x14ac:dyDescent="0.25"/>
    <row r="966" s="1" customFormat="1" ht="14.25" customHeight="1" x14ac:dyDescent="0.25"/>
    <row r="967" s="1" customFormat="1" ht="14.25" customHeight="1" x14ac:dyDescent="0.25"/>
    <row r="968" s="1" customFormat="1" ht="14.25" customHeight="1" x14ac:dyDescent="0.25"/>
    <row r="969" s="1" customFormat="1" ht="14.25" customHeight="1" x14ac:dyDescent="0.25"/>
    <row r="970" s="1" customFormat="1" ht="14.25" customHeight="1" x14ac:dyDescent="0.25"/>
    <row r="971" s="1" customFormat="1" ht="14.25" customHeight="1" x14ac:dyDescent="0.25"/>
    <row r="972" s="1" customFormat="1" ht="14.25" customHeight="1" x14ac:dyDescent="0.25"/>
    <row r="973" s="1" customFormat="1" ht="14.25" customHeight="1" x14ac:dyDescent="0.25"/>
    <row r="974" s="1" customFormat="1" ht="14.25" customHeight="1" x14ac:dyDescent="0.25"/>
    <row r="975" s="1" customFormat="1" ht="14.25" customHeight="1" x14ac:dyDescent="0.25"/>
    <row r="976" s="1" customFormat="1" ht="14.25" customHeight="1" x14ac:dyDescent="0.25"/>
    <row r="977" s="1" customFormat="1" ht="14.25" customHeight="1" x14ac:dyDescent="0.25"/>
    <row r="978" s="1" customFormat="1" ht="14.25" customHeight="1" x14ac:dyDescent="0.25"/>
    <row r="979" s="1" customFormat="1" ht="14.25" customHeight="1" x14ac:dyDescent="0.25"/>
    <row r="980" s="1" customFormat="1" ht="14.25" customHeight="1" x14ac:dyDescent="0.25"/>
    <row r="981" s="1" customFormat="1" ht="14.25" customHeight="1" x14ac:dyDescent="0.25"/>
    <row r="982" s="1" customFormat="1" ht="14.25" customHeight="1" x14ac:dyDescent="0.25"/>
    <row r="983" s="1" customFormat="1" ht="14.25" customHeight="1" x14ac:dyDescent="0.25"/>
    <row r="984" s="1" customFormat="1" ht="14.25" customHeight="1" x14ac:dyDescent="0.25"/>
    <row r="985" s="1" customFormat="1" ht="14.25" customHeight="1" x14ac:dyDescent="0.25"/>
    <row r="986" s="1" customFormat="1" ht="14.25" customHeight="1" x14ac:dyDescent="0.25"/>
    <row r="987" s="1" customFormat="1" ht="14.25" customHeight="1" x14ac:dyDescent="0.25"/>
    <row r="988" s="1" customFormat="1" ht="14.25" customHeight="1" x14ac:dyDescent="0.25"/>
    <row r="989" s="1" customFormat="1" ht="14.25" customHeight="1" x14ac:dyDescent="0.25"/>
    <row r="990" s="1" customFormat="1" ht="14.25" customHeight="1" x14ac:dyDescent="0.25"/>
    <row r="991" s="1" customFormat="1" ht="14.25" customHeight="1" x14ac:dyDescent="0.25"/>
    <row r="992" s="1" customFormat="1" ht="14.25" customHeight="1" x14ac:dyDescent="0.25"/>
    <row r="993" s="1" customFormat="1" ht="14.25" customHeight="1" x14ac:dyDescent="0.25"/>
    <row r="994" s="1" customFormat="1" ht="14.25" customHeight="1" x14ac:dyDescent="0.25"/>
    <row r="995" s="1" customFormat="1" ht="14.25" customHeight="1" x14ac:dyDescent="0.25"/>
    <row r="996" s="1" customFormat="1" ht="14.25" customHeight="1" x14ac:dyDescent="0.25"/>
    <row r="997" s="1" customFormat="1" ht="14.25" customHeight="1" x14ac:dyDescent="0.25"/>
    <row r="998" s="1" customFormat="1" ht="14.25" customHeight="1" x14ac:dyDescent="0.25"/>
    <row r="999" s="1" customFormat="1" ht="14.25" customHeight="1" x14ac:dyDescent="0.25"/>
    <row r="1000" s="1" customFormat="1" ht="14.25" customHeight="1" x14ac:dyDescent="0.25"/>
  </sheetData>
  <mergeCells count="1">
    <mergeCell ref="B2:C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85BE-85BD-4AF3-97E3-B9D6FB239447}">
  <dimension ref="B2:J37"/>
  <sheetViews>
    <sheetView showGridLines="0" workbookViewId="0">
      <selection activeCell="H9" sqref="H9"/>
    </sheetView>
  </sheetViews>
  <sheetFormatPr defaultRowHeight="18" x14ac:dyDescent="0.25"/>
  <cols>
    <col min="1" max="1" width="2.7109375" style="1" customWidth="1"/>
    <col min="2" max="2" width="55.7109375" style="1" customWidth="1"/>
    <col min="3" max="10" width="15.7109375" style="1" customWidth="1"/>
    <col min="11" max="15" width="11.7109375" style="1" customWidth="1"/>
    <col min="16" max="16384" width="9.140625" style="1"/>
  </cols>
  <sheetData>
    <row r="2" spans="2:10" x14ac:dyDescent="0.25">
      <c r="B2" s="46" t="s">
        <v>61</v>
      </c>
      <c r="C2" s="51">
        <v>2022</v>
      </c>
      <c r="D2" s="51">
        <v>2023</v>
      </c>
      <c r="E2" s="51">
        <v>2024</v>
      </c>
      <c r="F2" s="47"/>
      <c r="G2" s="47"/>
      <c r="H2" s="47"/>
      <c r="I2" s="47"/>
      <c r="J2" s="47"/>
    </row>
    <row r="3" spans="2:10" ht="18" customHeight="1" x14ac:dyDescent="0.25">
      <c r="B3" s="15" t="s">
        <v>2</v>
      </c>
      <c r="C3" s="24">
        <v>1339464</v>
      </c>
      <c r="D3" s="44">
        <v>1367719</v>
      </c>
      <c r="E3" s="44">
        <v>1428716</v>
      </c>
      <c r="F3" s="48"/>
      <c r="G3" s="48"/>
      <c r="H3" s="48"/>
      <c r="I3" s="48"/>
      <c r="J3" s="48"/>
    </row>
    <row r="4" spans="2:10" ht="18" customHeight="1" x14ac:dyDescent="0.25">
      <c r="B4" s="15" t="s">
        <v>64</v>
      </c>
      <c r="C4" s="44">
        <v>-945966</v>
      </c>
      <c r="D4" s="44">
        <v>-957187</v>
      </c>
      <c r="E4" s="44">
        <v>-993243</v>
      </c>
      <c r="F4" s="48"/>
      <c r="G4" s="48"/>
      <c r="H4" s="48"/>
      <c r="I4" s="48"/>
      <c r="J4" s="48"/>
    </row>
    <row r="5" spans="2:10" ht="18" customHeight="1" x14ac:dyDescent="0.25">
      <c r="B5" s="40" t="s">
        <v>4</v>
      </c>
      <c r="C5" s="42">
        <f>SUM(C3:C4)</f>
        <v>393498</v>
      </c>
      <c r="D5" s="42">
        <f t="shared" ref="D5:E5" si="0">D3+D4</f>
        <v>410532</v>
      </c>
      <c r="E5" s="42">
        <f t="shared" si="0"/>
        <v>435473</v>
      </c>
      <c r="F5" s="49"/>
      <c r="G5" s="49"/>
      <c r="H5" s="49"/>
      <c r="I5" s="49"/>
      <c r="J5" s="49"/>
    </row>
    <row r="6" spans="2:10" ht="18" customHeight="1" x14ac:dyDescent="0.25">
      <c r="B6" s="15" t="s">
        <v>65</v>
      </c>
      <c r="C6" s="44">
        <v>17306</v>
      </c>
      <c r="D6" s="44">
        <v>15917</v>
      </c>
      <c r="E6" s="44">
        <v>19203</v>
      </c>
      <c r="F6" s="48"/>
      <c r="G6" s="48"/>
      <c r="H6" s="48"/>
      <c r="I6" s="48"/>
      <c r="J6" s="48"/>
    </row>
    <row r="7" spans="2:10" ht="18" customHeight="1" x14ac:dyDescent="0.25">
      <c r="B7" s="15" t="s">
        <v>66</v>
      </c>
      <c r="C7" s="44">
        <f>-7855-236217-4547</f>
        <v>-248619</v>
      </c>
      <c r="D7" s="44">
        <f>-221425-49610</f>
        <v>-271035</v>
      </c>
      <c r="E7" s="44">
        <f>-236484-58511</f>
        <v>-294995</v>
      </c>
      <c r="F7" s="48"/>
      <c r="G7" s="48"/>
      <c r="H7" s="48"/>
      <c r="I7" s="48"/>
      <c r="J7" s="48"/>
    </row>
    <row r="8" spans="2:10" ht="18" customHeight="1" x14ac:dyDescent="0.25">
      <c r="B8" s="40" t="s">
        <v>9</v>
      </c>
      <c r="C8" s="43">
        <f>C5+C6+C7</f>
        <v>162185</v>
      </c>
      <c r="D8" s="43">
        <f>D5+D6+D7</f>
        <v>155414</v>
      </c>
      <c r="E8" s="43">
        <f>E5+E6+E7</f>
        <v>159681</v>
      </c>
      <c r="F8" s="49"/>
      <c r="G8" s="49"/>
      <c r="H8" s="49"/>
      <c r="I8" s="49"/>
      <c r="J8" s="49"/>
    </row>
    <row r="9" spans="2:10" ht="18" customHeight="1" x14ac:dyDescent="0.25">
      <c r="B9" s="15"/>
      <c r="C9" s="15"/>
      <c r="D9" s="15"/>
      <c r="E9" s="15"/>
      <c r="F9" s="48"/>
      <c r="G9" s="48"/>
      <c r="H9" s="48"/>
      <c r="I9" s="48"/>
      <c r="J9" s="48"/>
    </row>
    <row r="10" spans="2:10" ht="18" customHeight="1" x14ac:dyDescent="0.25">
      <c r="B10" s="15" t="s">
        <v>67</v>
      </c>
      <c r="C10" s="44">
        <v>3674</v>
      </c>
      <c r="D10" s="44">
        <v>11224</v>
      </c>
      <c r="E10" s="44">
        <v>12729</v>
      </c>
      <c r="F10" s="48"/>
      <c r="G10" s="48"/>
      <c r="H10" s="48"/>
      <c r="I10" s="48"/>
      <c r="J10" s="48"/>
    </row>
    <row r="11" spans="2:10" ht="18" customHeight="1" x14ac:dyDescent="0.25">
      <c r="B11" s="15" t="s">
        <v>68</v>
      </c>
      <c r="C11" s="44">
        <v>-2777</v>
      </c>
      <c r="D11" s="44">
        <v>-3518</v>
      </c>
      <c r="E11" s="44">
        <v>-4460</v>
      </c>
      <c r="F11" s="48"/>
      <c r="G11" s="48"/>
      <c r="H11" s="48"/>
      <c r="I11" s="48"/>
      <c r="J11" s="48"/>
    </row>
    <row r="12" spans="2:10" ht="18" customHeight="1" x14ac:dyDescent="0.25">
      <c r="B12" s="40" t="s">
        <v>69</v>
      </c>
      <c r="C12" s="43">
        <f>C8+C10+C11</f>
        <v>163082</v>
      </c>
      <c r="D12" s="43">
        <f>D8+D10+D11</f>
        <v>163120</v>
      </c>
      <c r="E12" s="43">
        <f>E8+E10+E11</f>
        <v>167950</v>
      </c>
      <c r="F12" s="49"/>
      <c r="G12" s="49"/>
      <c r="H12" s="49"/>
      <c r="I12" s="49"/>
      <c r="J12" s="49"/>
    </row>
    <row r="13" spans="2:10" ht="18" customHeight="1" x14ac:dyDescent="0.25">
      <c r="B13" s="15" t="s">
        <v>70</v>
      </c>
      <c r="C13" s="44">
        <v>-29440</v>
      </c>
      <c r="D13" s="44">
        <v>-29124</v>
      </c>
      <c r="E13" s="44">
        <v>-30429</v>
      </c>
      <c r="F13" s="48"/>
      <c r="G13" s="48"/>
      <c r="H13" s="48"/>
      <c r="I13" s="48"/>
      <c r="J13" s="48"/>
    </row>
    <row r="14" spans="2:10" ht="18" customHeight="1" thickBot="1" x14ac:dyDescent="0.3">
      <c r="B14" s="41" t="s">
        <v>71</v>
      </c>
      <c r="C14" s="45">
        <f>C12+C13</f>
        <v>133642</v>
      </c>
      <c r="D14" s="45">
        <f>D12+D13</f>
        <v>133996</v>
      </c>
      <c r="E14" s="45">
        <f>E12+E13</f>
        <v>137521</v>
      </c>
      <c r="F14" s="49"/>
      <c r="G14" s="49"/>
      <c r="H14" s="49"/>
      <c r="I14" s="49"/>
      <c r="J14" s="49"/>
    </row>
    <row r="15" spans="2:10" ht="18" customHeight="1" x14ac:dyDescent="0.25"/>
    <row r="16" spans="2:10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</sheetData>
  <pageMargins left="0.7" right="0.7" top="0.75" bottom="0.75" header="0.3" footer="0.3"/>
  <pageSetup orientation="portrait" r:id="rId1"/>
  <ignoredErrors>
    <ignoredError sqref="C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8111-42D1-4A68-B662-C2C7EDD3BE7B}">
  <dimension ref="B1:J37"/>
  <sheetViews>
    <sheetView showGridLines="0" workbookViewId="0">
      <selection activeCell="H19" sqref="H19"/>
    </sheetView>
  </sheetViews>
  <sheetFormatPr defaultRowHeight="18" x14ac:dyDescent="0.25"/>
  <cols>
    <col min="1" max="1" width="2.7109375" style="1" customWidth="1"/>
    <col min="2" max="2" width="55.7109375" style="1" customWidth="1"/>
    <col min="3" max="17" width="11.7109375" style="1" customWidth="1"/>
    <col min="18" max="16384" width="9.140625" style="1"/>
  </cols>
  <sheetData>
    <row r="1" spans="2:10" ht="18" customHeight="1" x14ac:dyDescent="0.25"/>
    <row r="2" spans="2:10" ht="18" customHeight="1" x14ac:dyDescent="0.25">
      <c r="B2" s="50" t="s">
        <v>62</v>
      </c>
      <c r="C2" s="51">
        <v>2022</v>
      </c>
      <c r="D2" s="51">
        <v>2023</v>
      </c>
      <c r="E2" s="51">
        <v>2024</v>
      </c>
      <c r="F2" s="47"/>
      <c r="G2" s="47"/>
      <c r="H2" s="47"/>
      <c r="I2" s="47"/>
      <c r="J2" s="47"/>
    </row>
    <row r="3" spans="2:10" ht="18" customHeight="1" x14ac:dyDescent="0.25">
      <c r="B3" s="15" t="s">
        <v>72</v>
      </c>
      <c r="C3" s="44">
        <v>291608</v>
      </c>
      <c r="D3" s="44">
        <v>283658</v>
      </c>
      <c r="E3" s="44">
        <v>304537</v>
      </c>
      <c r="F3" s="48"/>
      <c r="G3" s="48"/>
      <c r="H3" s="48"/>
      <c r="I3" s="48"/>
      <c r="J3" s="48"/>
    </row>
    <row r="4" spans="2:10" ht="18" customHeight="1" x14ac:dyDescent="0.25">
      <c r="B4" s="15" t="s">
        <v>73</v>
      </c>
      <c r="C4" s="44">
        <v>97286</v>
      </c>
      <c r="D4" s="44">
        <v>101797</v>
      </c>
      <c r="E4" s="44">
        <v>128314</v>
      </c>
      <c r="F4" s="48"/>
      <c r="G4" s="48"/>
      <c r="H4" s="48"/>
      <c r="I4" s="48"/>
      <c r="J4" s="48"/>
    </row>
    <row r="5" spans="2:10" ht="18" customHeight="1" x14ac:dyDescent="0.25">
      <c r="B5" s="15" t="s">
        <v>119</v>
      </c>
      <c r="C5" s="64" t="s">
        <v>115</v>
      </c>
      <c r="D5" s="64" t="s">
        <v>115</v>
      </c>
      <c r="E5" s="44">
        <v>30000</v>
      </c>
      <c r="F5" s="48"/>
      <c r="G5" s="48"/>
      <c r="H5" s="48"/>
      <c r="I5" s="48"/>
      <c r="J5" s="48"/>
    </row>
    <row r="6" spans="2:10" ht="18" customHeight="1" x14ac:dyDescent="0.25">
      <c r="B6" s="40" t="s">
        <v>74</v>
      </c>
      <c r="C6" s="42">
        <f>SUM(C3:C5)</f>
        <v>388894</v>
      </c>
      <c r="D6" s="42">
        <f t="shared" ref="D6:E6" si="0">SUM(D3:D5)</f>
        <v>385455</v>
      </c>
      <c r="E6" s="42">
        <f t="shared" si="0"/>
        <v>462851</v>
      </c>
      <c r="F6" s="49"/>
      <c r="G6" s="49"/>
      <c r="H6" s="49"/>
      <c r="I6" s="49"/>
      <c r="J6" s="49"/>
    </row>
    <row r="7" spans="2:10" ht="18" customHeight="1" x14ac:dyDescent="0.25">
      <c r="B7" s="15" t="s">
        <v>75</v>
      </c>
      <c r="C7" s="44">
        <v>101182</v>
      </c>
      <c r="D7" s="44">
        <v>91802</v>
      </c>
      <c r="E7" s="44">
        <v>98426</v>
      </c>
      <c r="F7" s="48"/>
      <c r="G7" s="48"/>
      <c r="H7" s="48"/>
      <c r="I7" s="48"/>
      <c r="J7" s="48"/>
    </row>
    <row r="8" spans="2:10" ht="18" customHeight="1" x14ac:dyDescent="0.25">
      <c r="B8" s="15" t="s">
        <v>76</v>
      </c>
      <c r="C8" s="44">
        <v>19540</v>
      </c>
      <c r="D8" s="44">
        <v>28535</v>
      </c>
      <c r="E8" s="44">
        <v>20501</v>
      </c>
      <c r="F8" s="48"/>
      <c r="G8" s="48"/>
      <c r="H8" s="48"/>
      <c r="I8" s="48"/>
      <c r="J8" s="48"/>
    </row>
    <row r="9" spans="2:10" ht="18" customHeight="1" x14ac:dyDescent="0.25">
      <c r="B9" s="15" t="s">
        <v>77</v>
      </c>
      <c r="C9" s="44">
        <v>275499</v>
      </c>
      <c r="D9" s="44">
        <v>324401</v>
      </c>
      <c r="E9" s="44">
        <v>353363</v>
      </c>
      <c r="F9" s="48"/>
      <c r="G9" s="48"/>
      <c r="H9" s="48"/>
      <c r="I9" s="48"/>
      <c r="J9" s="48"/>
    </row>
    <row r="10" spans="2:10" ht="18" customHeight="1" x14ac:dyDescent="0.25">
      <c r="B10" s="40" t="s">
        <v>78</v>
      </c>
      <c r="C10" s="42">
        <f>SUM(C7:C9)</f>
        <v>396221</v>
      </c>
      <c r="D10" s="42">
        <f t="shared" ref="D10:E10" si="1">SUM(D7:D9)</f>
        <v>444738</v>
      </c>
      <c r="E10" s="42">
        <f t="shared" si="1"/>
        <v>472290</v>
      </c>
      <c r="F10" s="49"/>
      <c r="G10" s="49"/>
      <c r="H10" s="49"/>
      <c r="I10" s="49"/>
      <c r="J10" s="49"/>
    </row>
    <row r="11" spans="2:10" ht="18" customHeight="1" thickBot="1" x14ac:dyDescent="0.3">
      <c r="B11" s="41" t="s">
        <v>79</v>
      </c>
      <c r="C11" s="52">
        <f>C6+C10</f>
        <v>785115</v>
      </c>
      <c r="D11" s="52">
        <f t="shared" ref="D11:E11" si="2">D6+D10</f>
        <v>830193</v>
      </c>
      <c r="E11" s="52">
        <f t="shared" si="2"/>
        <v>935141</v>
      </c>
      <c r="F11" s="49"/>
      <c r="G11" s="49"/>
      <c r="H11" s="49"/>
      <c r="I11" s="49"/>
      <c r="J11" s="49"/>
    </row>
    <row r="12" spans="2:10" ht="18" customHeight="1" x14ac:dyDescent="0.25">
      <c r="B12" s="15"/>
      <c r="C12" s="15"/>
      <c r="D12" s="15"/>
      <c r="E12" s="15"/>
      <c r="F12" s="48"/>
      <c r="G12" s="48"/>
      <c r="H12" s="48"/>
      <c r="I12" s="48"/>
      <c r="J12" s="48"/>
    </row>
    <row r="13" spans="2:10" ht="18" customHeight="1" x14ac:dyDescent="0.25">
      <c r="B13" s="15" t="s">
        <v>86</v>
      </c>
      <c r="C13" s="44">
        <v>62598</v>
      </c>
      <c r="D13" s="44">
        <v>66920</v>
      </c>
      <c r="E13" s="44">
        <v>87871</v>
      </c>
      <c r="F13" s="48"/>
      <c r="G13" s="48"/>
      <c r="H13" s="48"/>
      <c r="I13" s="48"/>
      <c r="J13" s="48"/>
    </row>
    <row r="14" spans="2:10" ht="18" customHeight="1" x14ac:dyDescent="0.25">
      <c r="B14" s="15" t="s">
        <v>116</v>
      </c>
      <c r="C14" s="64" t="s">
        <v>115</v>
      </c>
      <c r="D14" s="64" t="s">
        <v>115</v>
      </c>
      <c r="E14" s="44">
        <v>3417</v>
      </c>
      <c r="F14" s="48"/>
      <c r="G14" s="48"/>
      <c r="H14" s="48"/>
      <c r="I14" s="48"/>
      <c r="J14" s="48"/>
    </row>
    <row r="15" spans="2:10" ht="18" customHeight="1" x14ac:dyDescent="0.25">
      <c r="B15" s="15" t="s">
        <v>87</v>
      </c>
      <c r="C15" s="44">
        <v>1540</v>
      </c>
      <c r="D15" s="44">
        <v>2306</v>
      </c>
      <c r="E15" s="44">
        <v>1261</v>
      </c>
      <c r="F15" s="48"/>
      <c r="G15" s="48"/>
      <c r="H15" s="48"/>
      <c r="I15" s="48"/>
      <c r="J15" s="48"/>
    </row>
    <row r="16" spans="2:10" ht="18" customHeight="1" x14ac:dyDescent="0.25">
      <c r="B16" s="40" t="s">
        <v>88</v>
      </c>
      <c r="C16" s="42">
        <f>SUM(C13:C15)</f>
        <v>64138</v>
      </c>
      <c r="D16" s="42">
        <f t="shared" ref="D16:E16" si="3">SUM(D13:D15)</f>
        <v>69226</v>
      </c>
      <c r="E16" s="42">
        <f t="shared" si="3"/>
        <v>92549</v>
      </c>
      <c r="F16" s="49"/>
      <c r="G16" s="49"/>
      <c r="H16" s="49"/>
      <c r="I16" s="49"/>
      <c r="J16" s="49"/>
    </row>
    <row r="17" spans="2:10" ht="18" customHeight="1" x14ac:dyDescent="0.25">
      <c r="B17" s="15" t="s">
        <v>28</v>
      </c>
      <c r="C17" s="44">
        <v>197455</v>
      </c>
      <c r="D17" s="44">
        <v>199943</v>
      </c>
      <c r="E17" s="44">
        <v>230241</v>
      </c>
      <c r="F17" s="48"/>
      <c r="G17" s="48"/>
      <c r="H17" s="48"/>
      <c r="I17" s="48"/>
      <c r="J17" s="48"/>
    </row>
    <row r="18" spans="2:10" ht="18" customHeight="1" x14ac:dyDescent="0.25">
      <c r="B18" s="15" t="s">
        <v>89</v>
      </c>
      <c r="C18" s="44">
        <v>35297</v>
      </c>
      <c r="D18" s="44">
        <v>29638</v>
      </c>
      <c r="E18" s="44">
        <v>32655</v>
      </c>
      <c r="F18" s="48"/>
      <c r="G18" s="48"/>
      <c r="H18" s="48"/>
      <c r="I18" s="48"/>
      <c r="J18" s="48"/>
    </row>
    <row r="19" spans="2:10" ht="18" customHeight="1" x14ac:dyDescent="0.25">
      <c r="B19" s="15" t="s">
        <v>116</v>
      </c>
      <c r="C19" s="64" t="s">
        <v>115</v>
      </c>
      <c r="D19" s="64" t="s">
        <v>115</v>
      </c>
      <c r="E19" s="44">
        <v>3613</v>
      </c>
      <c r="F19" s="48"/>
      <c r="G19" s="48"/>
      <c r="H19" s="48"/>
      <c r="I19" s="48"/>
      <c r="J19" s="48"/>
    </row>
    <row r="20" spans="2:10" ht="18" customHeight="1" x14ac:dyDescent="0.25">
      <c r="B20" s="15" t="s">
        <v>86</v>
      </c>
      <c r="C20" s="44">
        <v>33052</v>
      </c>
      <c r="D20" s="44">
        <v>34408</v>
      </c>
      <c r="E20" s="44">
        <v>37746</v>
      </c>
      <c r="F20" s="48"/>
      <c r="G20" s="48"/>
      <c r="H20" s="48"/>
      <c r="I20" s="48"/>
      <c r="J20" s="48"/>
    </row>
    <row r="21" spans="2:10" ht="18" customHeight="1" x14ac:dyDescent="0.25">
      <c r="B21" s="40" t="s">
        <v>90</v>
      </c>
      <c r="C21" s="42">
        <f>SUM(C17:C20)</f>
        <v>265804</v>
      </c>
      <c r="D21" s="42">
        <f>SUM(D17:D20)</f>
        <v>263989</v>
      </c>
      <c r="E21" s="42">
        <f>SUM(E17:E20)</f>
        <v>304255</v>
      </c>
      <c r="F21" s="49"/>
      <c r="G21" s="49"/>
      <c r="H21" s="49"/>
      <c r="I21" s="49"/>
      <c r="J21" s="49"/>
    </row>
    <row r="22" spans="2:10" ht="18" customHeight="1" thickBot="1" x14ac:dyDescent="0.3">
      <c r="B22" s="41" t="s">
        <v>91</v>
      </c>
      <c r="C22" s="52">
        <f>C21+C16</f>
        <v>329942</v>
      </c>
      <c r="D22" s="52">
        <f>D21+D16</f>
        <v>333215</v>
      </c>
      <c r="E22" s="52">
        <f>E21+E16</f>
        <v>396804</v>
      </c>
      <c r="F22" s="49"/>
      <c r="G22" s="49"/>
      <c r="H22" s="49"/>
      <c r="I22" s="49"/>
      <c r="J22" s="49"/>
    </row>
    <row r="23" spans="2:10" ht="18" customHeight="1" x14ac:dyDescent="0.25">
      <c r="B23" s="15"/>
      <c r="C23" s="15"/>
      <c r="D23" s="15"/>
      <c r="E23" s="15"/>
      <c r="F23" s="48"/>
      <c r="G23" s="48"/>
      <c r="H23" s="48"/>
      <c r="I23" s="48"/>
      <c r="J23" s="48"/>
    </row>
    <row r="24" spans="2:10" ht="18" customHeight="1" x14ac:dyDescent="0.25">
      <c r="B24" s="15" t="s">
        <v>80</v>
      </c>
      <c r="C24" s="44">
        <v>235373</v>
      </c>
      <c r="D24" s="44">
        <v>235373</v>
      </c>
      <c r="E24" s="44">
        <v>235373</v>
      </c>
      <c r="F24" s="48"/>
      <c r="G24" s="48"/>
      <c r="H24" s="48"/>
      <c r="I24" s="48"/>
      <c r="J24" s="48"/>
    </row>
    <row r="25" spans="2:10" ht="18" customHeight="1" x14ac:dyDescent="0.25">
      <c r="B25" s="15" t="s">
        <v>81</v>
      </c>
      <c r="C25" s="44">
        <f>-68234-590+156</f>
        <v>-68668</v>
      </c>
      <c r="D25" s="44">
        <f>-68234-695+218</f>
        <v>-68711</v>
      </c>
      <c r="E25" s="44">
        <f>-68234-378+195</f>
        <v>-68417</v>
      </c>
      <c r="F25" s="48"/>
      <c r="G25" s="48"/>
      <c r="H25" s="48"/>
      <c r="I25" s="48"/>
      <c r="J25" s="48"/>
    </row>
    <row r="26" spans="2:10" ht="18" customHeight="1" x14ac:dyDescent="0.25">
      <c r="B26" s="15" t="s">
        <v>82</v>
      </c>
      <c r="C26" s="44">
        <v>285541</v>
      </c>
      <c r="D26" s="44">
        <v>327113</v>
      </c>
      <c r="E26" s="44">
        <v>367967</v>
      </c>
      <c r="F26" s="48"/>
      <c r="G26" s="48"/>
      <c r="H26" s="48"/>
      <c r="I26" s="48"/>
      <c r="J26" s="48"/>
    </row>
    <row r="27" spans="2:10" ht="18" customHeight="1" x14ac:dyDescent="0.25">
      <c r="B27" s="53" t="s">
        <v>83</v>
      </c>
      <c r="C27" s="54">
        <f>SUM(C24:C26)</f>
        <v>452246</v>
      </c>
      <c r="D27" s="54">
        <f t="shared" ref="D27:E27" si="4">SUM(D24:D26)</f>
        <v>493775</v>
      </c>
      <c r="E27" s="54">
        <f t="shared" si="4"/>
        <v>534923</v>
      </c>
      <c r="F27" s="48"/>
      <c r="G27" s="48"/>
      <c r="H27" s="48"/>
      <c r="I27" s="48"/>
      <c r="J27" s="48"/>
    </row>
    <row r="28" spans="2:10" ht="18" customHeight="1" x14ac:dyDescent="0.25">
      <c r="B28" s="15" t="s">
        <v>84</v>
      </c>
      <c r="C28" s="44">
        <v>2927</v>
      </c>
      <c r="D28" s="44">
        <v>3203</v>
      </c>
      <c r="E28" s="44">
        <v>3414</v>
      </c>
      <c r="F28" s="48"/>
      <c r="G28" s="48"/>
      <c r="H28" s="48"/>
      <c r="I28" s="48"/>
      <c r="J28" s="48"/>
    </row>
    <row r="29" spans="2:10" ht="18" customHeight="1" thickBot="1" x14ac:dyDescent="0.3">
      <c r="B29" s="41" t="s">
        <v>85</v>
      </c>
      <c r="C29" s="52">
        <f>SUM(C27:C28)</f>
        <v>455173</v>
      </c>
      <c r="D29" s="52">
        <f t="shared" ref="D29:E29" si="5">SUM(D27:D28)</f>
        <v>496978</v>
      </c>
      <c r="E29" s="52">
        <f t="shared" si="5"/>
        <v>538337</v>
      </c>
      <c r="F29" s="49"/>
      <c r="G29" s="49"/>
      <c r="H29" s="49"/>
      <c r="I29" s="49"/>
      <c r="J29" s="49"/>
    </row>
    <row r="30" spans="2:10" ht="18" customHeight="1" x14ac:dyDescent="0.25">
      <c r="B30" s="1" t="s">
        <v>117</v>
      </c>
      <c r="C30" s="8">
        <f>C11-C29-C22</f>
        <v>0</v>
      </c>
      <c r="D30" s="8">
        <f t="shared" ref="D30:E30" si="6">D11-D29-D22</f>
        <v>0</v>
      </c>
      <c r="E30" s="8">
        <f t="shared" si="6"/>
        <v>0</v>
      </c>
    </row>
    <row r="31" spans="2:10" ht="18" customHeight="1" x14ac:dyDescent="0.25"/>
    <row r="32" spans="2:10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A2E0-CC1D-4954-867F-B7129C4FD976}">
  <dimension ref="B1:J39"/>
  <sheetViews>
    <sheetView showGridLines="0" zoomScale="90" zoomScaleNormal="90" workbookViewId="0">
      <selection activeCell="H9" sqref="H9"/>
    </sheetView>
  </sheetViews>
  <sheetFormatPr defaultRowHeight="18" x14ac:dyDescent="0.25"/>
  <cols>
    <col min="1" max="1" width="2.7109375" style="1" customWidth="1"/>
    <col min="2" max="2" width="55.7109375" style="1" customWidth="1"/>
    <col min="3" max="22" width="11.7109375" style="1" customWidth="1"/>
    <col min="23" max="16384" width="9.140625" style="1"/>
  </cols>
  <sheetData>
    <row r="1" spans="2:10" ht="18" customHeight="1" x14ac:dyDescent="0.25"/>
    <row r="2" spans="2:10" ht="18" customHeight="1" x14ac:dyDescent="0.25">
      <c r="B2" s="50" t="s">
        <v>63</v>
      </c>
      <c r="C2" s="51">
        <v>2022</v>
      </c>
      <c r="D2" s="51">
        <v>2023</v>
      </c>
      <c r="E2" s="51">
        <v>2024</v>
      </c>
      <c r="F2" s="47"/>
      <c r="G2" s="47"/>
      <c r="H2" s="47"/>
      <c r="I2" s="47"/>
      <c r="J2" s="47"/>
    </row>
    <row r="3" spans="2:10" ht="18" customHeight="1" thickBot="1" x14ac:dyDescent="0.3">
      <c r="B3" s="41" t="s">
        <v>71</v>
      </c>
      <c r="C3" s="52">
        <f>'Income Statement'!C14</f>
        <v>133642</v>
      </c>
      <c r="D3" s="52">
        <f>'Income Statement'!D14</f>
        <v>133996</v>
      </c>
      <c r="E3" s="52">
        <f>'Income Statement'!E14</f>
        <v>137521</v>
      </c>
      <c r="F3" s="49"/>
      <c r="G3" s="49"/>
      <c r="H3" s="49"/>
      <c r="I3" s="49"/>
      <c r="J3" s="49"/>
    </row>
    <row r="4" spans="2:10" ht="18" customHeight="1" x14ac:dyDescent="0.25">
      <c r="B4" s="59" t="s">
        <v>121</v>
      </c>
      <c r="C4" s="44">
        <f>19539</f>
        <v>19539</v>
      </c>
      <c r="D4" s="44">
        <f>17876</f>
        <v>17876</v>
      </c>
      <c r="E4" s="44">
        <f>17453</f>
        <v>17453</v>
      </c>
      <c r="F4" s="48"/>
      <c r="G4" s="48"/>
      <c r="H4" s="48"/>
      <c r="I4" s="48"/>
      <c r="J4" s="48"/>
    </row>
    <row r="5" spans="2:10" ht="18" customHeight="1" x14ac:dyDescent="0.25">
      <c r="B5" s="59" t="s">
        <v>120</v>
      </c>
      <c r="C5" s="44">
        <v>33014</v>
      </c>
      <c r="D5" s="44">
        <v>35140</v>
      </c>
      <c r="E5" s="44">
        <v>41003</v>
      </c>
      <c r="F5" s="48"/>
      <c r="G5" s="48"/>
      <c r="H5" s="48"/>
      <c r="I5" s="48"/>
      <c r="J5" s="48"/>
    </row>
    <row r="6" spans="2:10" ht="18" customHeight="1" x14ac:dyDescent="0.25">
      <c r="B6" s="59" t="s">
        <v>92</v>
      </c>
      <c r="C6" s="44">
        <v>-20</v>
      </c>
      <c r="D6" s="44">
        <v>-11</v>
      </c>
      <c r="E6" s="44">
        <v>-49</v>
      </c>
      <c r="F6" s="48"/>
      <c r="G6" s="48"/>
      <c r="H6" s="48"/>
      <c r="I6" s="48"/>
      <c r="J6" s="48"/>
    </row>
    <row r="7" spans="2:10" ht="18" customHeight="1" x14ac:dyDescent="0.25">
      <c r="B7" s="59" t="s">
        <v>93</v>
      </c>
      <c r="C7" s="44">
        <v>-12</v>
      </c>
      <c r="D7" s="64" t="s">
        <v>115</v>
      </c>
      <c r="E7" s="64" t="s">
        <v>115</v>
      </c>
      <c r="F7" s="48"/>
      <c r="G7" s="48"/>
      <c r="H7" s="48"/>
      <c r="I7" s="48"/>
      <c r="J7" s="48"/>
    </row>
    <row r="8" spans="2:10" ht="18" customHeight="1" x14ac:dyDescent="0.25">
      <c r="B8" s="59" t="s">
        <v>94</v>
      </c>
      <c r="C8" s="44">
        <v>-1017</v>
      </c>
      <c r="D8" s="44">
        <v>-205</v>
      </c>
      <c r="E8" s="44">
        <v>-1188</v>
      </c>
      <c r="F8" s="48"/>
      <c r="G8" s="48"/>
      <c r="H8" s="48"/>
      <c r="I8" s="48"/>
      <c r="J8" s="48"/>
    </row>
    <row r="9" spans="2:10" ht="18" customHeight="1" x14ac:dyDescent="0.25">
      <c r="B9" s="59" t="s">
        <v>95</v>
      </c>
      <c r="C9" s="44">
        <v>-3674</v>
      </c>
      <c r="D9" s="44">
        <v>-11224</v>
      </c>
      <c r="E9" s="44">
        <v>-12729</v>
      </c>
      <c r="F9" s="48"/>
      <c r="G9" s="48"/>
      <c r="H9" s="48"/>
      <c r="I9" s="48"/>
      <c r="J9" s="48"/>
    </row>
    <row r="10" spans="2:10" ht="18" customHeight="1" x14ac:dyDescent="0.25">
      <c r="B10" s="59" t="s">
        <v>96</v>
      </c>
      <c r="C10" s="44">
        <v>2777</v>
      </c>
      <c r="D10" s="44">
        <v>3518</v>
      </c>
      <c r="E10" s="44">
        <v>4460</v>
      </c>
      <c r="F10" s="48"/>
      <c r="G10" s="48"/>
      <c r="H10" s="48"/>
      <c r="I10" s="48"/>
      <c r="J10" s="48"/>
    </row>
    <row r="11" spans="2:10" ht="18" customHeight="1" x14ac:dyDescent="0.25">
      <c r="B11" s="59" t="s">
        <v>70</v>
      </c>
      <c r="C11" s="44">
        <v>29440</v>
      </c>
      <c r="D11" s="44">
        <v>29124</v>
      </c>
      <c r="E11" s="44">
        <v>30429</v>
      </c>
      <c r="F11" s="48"/>
      <c r="G11" s="48"/>
      <c r="H11" s="48"/>
      <c r="I11" s="48"/>
      <c r="J11" s="48"/>
    </row>
    <row r="12" spans="2:10" ht="18" customHeight="1" x14ac:dyDescent="0.25">
      <c r="B12" s="53" t="s">
        <v>97</v>
      </c>
      <c r="C12" s="54">
        <f>C3+SUM(C4:C11)</f>
        <v>213689</v>
      </c>
      <c r="D12" s="54">
        <f t="shared" ref="D12:E12" si="0">D3+SUM(D4:D11)</f>
        <v>208214</v>
      </c>
      <c r="E12" s="54">
        <f t="shared" si="0"/>
        <v>216900</v>
      </c>
      <c r="F12" s="49"/>
      <c r="G12" s="49"/>
      <c r="H12" s="49"/>
      <c r="I12" s="49"/>
      <c r="J12" s="49"/>
    </row>
    <row r="13" spans="2:10" ht="18" customHeight="1" x14ac:dyDescent="0.25">
      <c r="B13" s="59" t="s">
        <v>98</v>
      </c>
      <c r="C13" s="44">
        <v>-2799</v>
      </c>
      <c r="D13" s="44">
        <v>9380</v>
      </c>
      <c r="E13" s="44">
        <v>-6624</v>
      </c>
      <c r="F13" s="48"/>
      <c r="G13" s="48"/>
      <c r="H13" s="48"/>
      <c r="I13" s="48"/>
      <c r="J13" s="48"/>
    </row>
    <row r="14" spans="2:10" ht="18" customHeight="1" x14ac:dyDescent="0.25">
      <c r="B14" s="59" t="s">
        <v>100</v>
      </c>
      <c r="C14" s="44">
        <v>-7936</v>
      </c>
      <c r="D14" s="44">
        <v>-8995</v>
      </c>
      <c r="E14" s="44">
        <v>8047</v>
      </c>
      <c r="F14" s="48"/>
      <c r="G14" s="48"/>
      <c r="H14" s="48"/>
      <c r="I14" s="48"/>
      <c r="J14" s="48"/>
    </row>
    <row r="15" spans="2:10" ht="18" customHeight="1" x14ac:dyDescent="0.25">
      <c r="B15" s="59" t="s">
        <v>99</v>
      </c>
      <c r="C15" s="44">
        <v>-14936</v>
      </c>
      <c r="D15" s="44">
        <v>2488</v>
      </c>
      <c r="E15" s="44">
        <v>29822</v>
      </c>
      <c r="F15" s="48"/>
      <c r="G15" s="60"/>
      <c r="H15" s="48"/>
      <c r="I15" s="48"/>
      <c r="J15" s="48"/>
    </row>
    <row r="16" spans="2:10" ht="18" customHeight="1" x14ac:dyDescent="0.25">
      <c r="B16" s="59" t="s">
        <v>101</v>
      </c>
      <c r="C16" s="44">
        <v>-21213</v>
      </c>
      <c r="D16" s="44">
        <v>-34017</v>
      </c>
      <c r="E16" s="44">
        <v>-29153</v>
      </c>
      <c r="F16" s="48"/>
      <c r="G16" s="60"/>
      <c r="H16" s="48"/>
      <c r="I16" s="48"/>
      <c r="J16" s="48"/>
    </row>
    <row r="17" spans="2:10" ht="18" customHeight="1" thickBot="1" x14ac:dyDescent="0.3">
      <c r="B17" s="41" t="s">
        <v>110</v>
      </c>
      <c r="C17" s="52">
        <f>C12+SUM(C13:C16)</f>
        <v>166805</v>
      </c>
      <c r="D17" s="52">
        <f t="shared" ref="D17:E17" si="1">D12+SUM(D13:D16)</f>
        <v>177070</v>
      </c>
      <c r="E17" s="52">
        <f t="shared" si="1"/>
        <v>218992</v>
      </c>
      <c r="F17" s="49"/>
      <c r="G17" s="49"/>
      <c r="H17" s="49"/>
      <c r="I17" s="49"/>
      <c r="J17" s="49"/>
    </row>
    <row r="18" spans="2:10" ht="18" customHeight="1" x14ac:dyDescent="0.25">
      <c r="B18" s="15"/>
      <c r="C18" s="15"/>
      <c r="D18" s="15"/>
      <c r="E18" s="15"/>
      <c r="F18" s="48"/>
      <c r="G18" s="60"/>
      <c r="H18" s="48"/>
      <c r="I18" s="48"/>
      <c r="J18" s="48"/>
    </row>
    <row r="19" spans="2:10" ht="18" customHeight="1" x14ac:dyDescent="0.25">
      <c r="B19" s="15" t="s">
        <v>127</v>
      </c>
      <c r="C19" s="44">
        <v>149</v>
      </c>
      <c r="D19" s="44">
        <v>105</v>
      </c>
      <c r="E19" s="44">
        <v>157</v>
      </c>
      <c r="F19" s="48"/>
      <c r="G19" s="48"/>
      <c r="H19" s="48"/>
      <c r="I19" s="48"/>
      <c r="J19" s="48"/>
    </row>
    <row r="20" spans="2:10" ht="18" customHeight="1" x14ac:dyDescent="0.25">
      <c r="B20" s="15" t="s">
        <v>102</v>
      </c>
      <c r="C20" s="44">
        <v>-8795</v>
      </c>
      <c r="D20" s="44">
        <v>-10158</v>
      </c>
      <c r="E20" s="44">
        <v>-18191</v>
      </c>
      <c r="F20" s="48"/>
      <c r="G20" s="48"/>
      <c r="H20" s="48"/>
      <c r="I20" s="48"/>
      <c r="J20" s="48"/>
    </row>
    <row r="21" spans="2:10" ht="18" customHeight="1" x14ac:dyDescent="0.25">
      <c r="B21" s="15" t="s">
        <v>118</v>
      </c>
      <c r="C21" s="64" t="s">
        <v>115</v>
      </c>
      <c r="D21" s="64" t="s">
        <v>115</v>
      </c>
      <c r="E21" s="44">
        <v>-49041</v>
      </c>
      <c r="F21" s="48"/>
      <c r="G21" s="48"/>
      <c r="H21" s="48"/>
      <c r="I21" s="48"/>
      <c r="J21" s="48"/>
    </row>
    <row r="22" spans="2:10" ht="18" customHeight="1" x14ac:dyDescent="0.25">
      <c r="B22" s="15" t="s">
        <v>103</v>
      </c>
      <c r="C22" s="44">
        <v>3674</v>
      </c>
      <c r="D22" s="44">
        <v>11224</v>
      </c>
      <c r="E22" s="44">
        <v>12729</v>
      </c>
      <c r="F22" s="48"/>
      <c r="G22" s="48"/>
      <c r="H22" s="48"/>
      <c r="I22" s="48"/>
      <c r="J22" s="48"/>
    </row>
    <row r="23" spans="2:10" ht="18" customHeight="1" thickBot="1" x14ac:dyDescent="0.3">
      <c r="B23" s="41" t="s">
        <v>109</v>
      </c>
      <c r="C23" s="41">
        <f>SUM(C19:C22)</f>
        <v>-4972</v>
      </c>
      <c r="D23" s="41">
        <f t="shared" ref="D23:E23" si="2">SUM(D19:D22)</f>
        <v>1171</v>
      </c>
      <c r="E23" s="41">
        <f t="shared" si="2"/>
        <v>-54346</v>
      </c>
      <c r="F23" s="49"/>
      <c r="G23" s="49"/>
      <c r="H23" s="49"/>
      <c r="I23" s="49"/>
      <c r="J23" s="49"/>
    </row>
    <row r="24" spans="2:10" ht="18" customHeight="1" x14ac:dyDescent="0.25">
      <c r="B24" s="15"/>
      <c r="C24" s="15"/>
      <c r="D24" s="15"/>
      <c r="E24" s="15"/>
      <c r="F24" s="48"/>
      <c r="G24" s="48"/>
      <c r="H24" s="48"/>
      <c r="I24" s="48"/>
      <c r="J24" s="48"/>
    </row>
    <row r="25" spans="2:10" ht="18" customHeight="1" x14ac:dyDescent="0.25">
      <c r="B25" s="15" t="s">
        <v>104</v>
      </c>
      <c r="C25" s="44">
        <v>-93971</v>
      </c>
      <c r="D25" s="44">
        <v>-92016</v>
      </c>
      <c r="E25" s="44">
        <v>-96226</v>
      </c>
      <c r="F25" s="48"/>
      <c r="G25" s="48"/>
      <c r="H25" s="48"/>
      <c r="I25" s="48"/>
      <c r="J25" s="48"/>
    </row>
    <row r="26" spans="2:10" ht="18" customHeight="1" x14ac:dyDescent="0.25">
      <c r="B26" s="15" t="s">
        <v>106</v>
      </c>
      <c r="C26" s="44">
        <v>-5000</v>
      </c>
      <c r="D26" s="64" t="s">
        <v>115</v>
      </c>
      <c r="E26" s="64" t="s">
        <v>115</v>
      </c>
      <c r="F26" s="48"/>
      <c r="G26" s="48"/>
      <c r="H26" s="48"/>
      <c r="I26" s="48"/>
      <c r="J26" s="48"/>
    </row>
    <row r="27" spans="2:10" ht="18" customHeight="1" x14ac:dyDescent="0.25">
      <c r="B27" s="15" t="s">
        <v>105</v>
      </c>
      <c r="C27" s="44">
        <v>-31938</v>
      </c>
      <c r="D27" s="44">
        <v>-34171</v>
      </c>
      <c r="E27" s="44">
        <v>-36469</v>
      </c>
      <c r="F27" s="48"/>
      <c r="G27" s="48"/>
      <c r="H27" s="48"/>
      <c r="I27" s="48"/>
      <c r="J27" s="48"/>
    </row>
    <row r="28" spans="2:10" ht="18" customHeight="1" x14ac:dyDescent="0.25">
      <c r="B28" s="15" t="s">
        <v>107</v>
      </c>
      <c r="C28" s="44">
        <v>-2569</v>
      </c>
      <c r="D28" s="44">
        <v>-3276</v>
      </c>
      <c r="E28" s="44">
        <v>-4208</v>
      </c>
      <c r="F28" s="48"/>
      <c r="G28" s="48"/>
      <c r="H28" s="48"/>
      <c r="I28" s="48"/>
      <c r="J28" s="48"/>
    </row>
    <row r="29" spans="2:10" ht="18" customHeight="1" thickBot="1" x14ac:dyDescent="0.3">
      <c r="B29" s="41" t="s">
        <v>108</v>
      </c>
      <c r="C29" s="61">
        <f>SUM(C25:C28)</f>
        <v>-133478</v>
      </c>
      <c r="D29" s="61">
        <f t="shared" ref="D29:E29" si="3">SUM(D25:D28)</f>
        <v>-129463</v>
      </c>
      <c r="E29" s="61">
        <f t="shared" si="3"/>
        <v>-136903</v>
      </c>
      <c r="F29" s="49"/>
      <c r="G29" s="49"/>
      <c r="H29" s="49"/>
      <c r="I29" s="49"/>
      <c r="J29" s="49"/>
    </row>
    <row r="30" spans="2:10" ht="18" customHeight="1" x14ac:dyDescent="0.25">
      <c r="B30" s="15"/>
      <c r="C30" s="15"/>
      <c r="D30" s="15"/>
      <c r="E30" s="15"/>
    </row>
    <row r="31" spans="2:10" ht="18" customHeight="1" x14ac:dyDescent="0.25">
      <c r="B31" s="15" t="s">
        <v>111</v>
      </c>
      <c r="C31" s="44">
        <v>28355</v>
      </c>
      <c r="D31" s="44">
        <v>48778</v>
      </c>
      <c r="E31" s="44">
        <v>27743</v>
      </c>
    </row>
    <row r="32" spans="2:10" ht="18" customHeight="1" x14ac:dyDescent="0.25">
      <c r="B32" s="15" t="s">
        <v>112</v>
      </c>
      <c r="C32" s="44">
        <v>246642</v>
      </c>
      <c r="D32" s="44">
        <v>275499</v>
      </c>
      <c r="E32" s="44">
        <v>324401</v>
      </c>
    </row>
    <row r="33" spans="2:10" ht="18" customHeight="1" x14ac:dyDescent="0.25">
      <c r="B33" s="15" t="s">
        <v>113</v>
      </c>
      <c r="C33" s="44">
        <v>502</v>
      </c>
      <c r="D33" s="44">
        <v>124</v>
      </c>
      <c r="E33" s="44">
        <v>1219</v>
      </c>
    </row>
    <row r="34" spans="2:10" ht="18" customHeight="1" thickBot="1" x14ac:dyDescent="0.3">
      <c r="B34" s="41" t="s">
        <v>114</v>
      </c>
      <c r="C34" s="52">
        <f>SUM(C31:C33)</f>
        <v>275499</v>
      </c>
      <c r="D34" s="52">
        <f t="shared" ref="D34:E34" si="4">SUM(D31:D33)</f>
        <v>324401</v>
      </c>
      <c r="E34" s="52">
        <f t="shared" si="4"/>
        <v>353363</v>
      </c>
      <c r="F34" s="49"/>
      <c r="G34" s="49"/>
      <c r="H34" s="49"/>
      <c r="I34" s="49"/>
      <c r="J34" s="49"/>
    </row>
    <row r="35" spans="2:10" ht="18" customHeight="1" x14ac:dyDescent="0.25"/>
    <row r="36" spans="2:10" ht="18" customHeight="1" x14ac:dyDescent="0.25"/>
    <row r="37" spans="2:10" ht="18" customHeight="1" x14ac:dyDescent="0.25"/>
    <row r="38" spans="2:10" ht="18" customHeight="1" x14ac:dyDescent="0.25"/>
    <row r="39" spans="2:10" ht="18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Free Cash Flow</vt:lpstr>
      <vt:lpstr>Fixed Assets</vt:lpstr>
      <vt:lpstr>Net Working Capital</vt:lpstr>
      <vt:lpstr>DCF</vt:lpstr>
      <vt:lpstr>WACC</vt:lpstr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</dc:creator>
  <cp:lastModifiedBy>Office</cp:lastModifiedBy>
  <dcterms:created xsi:type="dcterms:W3CDTF">2022-06-25T16:24:49Z</dcterms:created>
  <dcterms:modified xsi:type="dcterms:W3CDTF">2025-11-29T06:58:36Z</dcterms:modified>
</cp:coreProperties>
</file>