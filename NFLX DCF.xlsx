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ian\OneDrive\Desktop\portfolio_certifications_rebuilt\"/>
    </mc:Choice>
  </mc:AlternateContent>
  <xr:revisionPtr revIDLastSave="0" documentId="13_ncr:1_{433F804B-61C7-4C4D-9C47-F774A0633F2E}" xr6:coauthVersionLast="47" xr6:coauthVersionMax="47" xr10:uidLastSave="{00000000-0000-0000-0000-000000000000}"/>
  <bookViews>
    <workbookView xWindow="-120" yWindow="-120" windowWidth="29040" windowHeight="15720" xr2:uid="{2462F69E-9E7B-4290-9FBB-2075A7D9F449}"/>
  </bookViews>
  <sheets>
    <sheet name="Valuation" sheetId="1" r:id="rId1"/>
    <sheet name="WAC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9" i="1" l="1" a="1"/>
  <c r="J79" i="1" s="1"/>
  <c r="D51" i="1"/>
  <c r="E51" i="1"/>
  <c r="F51" i="1"/>
  <c r="G51" i="1"/>
  <c r="C51" i="1"/>
  <c r="K75" i="1"/>
  <c r="K76" i="1"/>
  <c r="C7" i="2"/>
  <c r="C10" i="2"/>
  <c r="F29" i="2"/>
  <c r="F26" i="2"/>
  <c r="F27" i="2"/>
  <c r="F28" i="2"/>
  <c r="F25" i="2"/>
  <c r="E28" i="2"/>
  <c r="E27" i="2"/>
  <c r="E26" i="2"/>
  <c r="E25" i="2"/>
  <c r="C29" i="2"/>
  <c r="C5" i="2" a="1"/>
  <c r="C5" i="2" s="1"/>
  <c r="D62" i="1"/>
  <c r="E62" i="1"/>
  <c r="F62" i="1"/>
  <c r="C62" i="1"/>
  <c r="D60" i="1"/>
  <c r="E60" i="1"/>
  <c r="F60" i="1"/>
  <c r="C60" i="1"/>
  <c r="D54" i="1"/>
  <c r="E54" i="1"/>
  <c r="F54" i="1"/>
  <c r="C54" i="1"/>
  <c r="D46" i="1"/>
  <c r="E46" i="1" s="1"/>
  <c r="F46" i="1" s="1"/>
  <c r="G46" i="1" s="1"/>
  <c r="H46" i="1" s="1"/>
  <c r="I46" i="1" s="1"/>
  <c r="J46" i="1" s="1"/>
  <c r="K46" i="1" s="1"/>
  <c r="F37" i="1"/>
  <c r="F42" i="1"/>
  <c r="F64" i="1" s="1"/>
  <c r="E42" i="1"/>
  <c r="E64" i="1" s="1"/>
  <c r="D42" i="1"/>
  <c r="D64" i="1" s="1"/>
  <c r="C42" i="1"/>
  <c r="C64" i="1" s="1"/>
  <c r="D37" i="1"/>
  <c r="E37" i="1"/>
  <c r="C37" i="1"/>
  <c r="D33" i="1"/>
  <c r="E33" i="1" s="1"/>
  <c r="F33" i="1" s="1"/>
  <c r="G33" i="1" s="1"/>
  <c r="H33" i="1" s="1"/>
  <c r="I33" i="1" s="1"/>
  <c r="J33" i="1" s="1"/>
  <c r="K33" i="1" s="1"/>
  <c r="F31" i="1"/>
  <c r="D31" i="1"/>
  <c r="E31" i="1"/>
  <c r="C31" i="1"/>
  <c r="D22" i="1"/>
  <c r="E22" i="1" s="1"/>
  <c r="F22" i="1" s="1"/>
  <c r="G22" i="1" s="1"/>
  <c r="H22" i="1" s="1"/>
  <c r="I22" i="1" s="1"/>
  <c r="J22" i="1" s="1"/>
  <c r="K22" i="1" s="1"/>
  <c r="D19" i="1"/>
  <c r="E19" i="1"/>
  <c r="F19" i="1"/>
  <c r="C19" i="1"/>
  <c r="C24" i="1" s="1"/>
  <c r="C28" i="1" s="1"/>
  <c r="G17" i="1"/>
  <c r="G19" i="1" s="1"/>
  <c r="B17" i="1"/>
  <c r="D15" i="1"/>
  <c r="E15" i="1" s="1"/>
  <c r="F15" i="1" s="1"/>
  <c r="G15" i="1" s="1"/>
  <c r="H15" i="1" s="1"/>
  <c r="I15" i="1" s="1"/>
  <c r="J15" i="1" s="1"/>
  <c r="K15" i="1" s="1"/>
  <c r="G2" i="1" a="1"/>
  <c r="G2" i="1" s="1"/>
  <c r="D2" i="1" a="1"/>
  <c r="D2" i="1" s="1"/>
  <c r="F55" i="1" l="1"/>
  <c r="E55" i="1"/>
  <c r="D55" i="1"/>
  <c r="C55" i="1"/>
  <c r="C17" i="2"/>
  <c r="C13" i="2" s="1"/>
  <c r="G55" i="1"/>
  <c r="C48" i="1"/>
  <c r="C52" i="1" s="1"/>
  <c r="G20" i="1"/>
  <c r="G25" i="1" s="1"/>
  <c r="E20" i="1"/>
  <c r="E25" i="1" s="1"/>
  <c r="C43" i="1"/>
  <c r="F20" i="1"/>
  <c r="F25" i="1" s="1"/>
  <c r="G31" i="1"/>
  <c r="H31" i="1" s="1"/>
  <c r="I31" i="1" s="1"/>
  <c r="C40" i="1"/>
  <c r="C36" i="1"/>
  <c r="H17" i="1"/>
  <c r="I17" i="1" s="1"/>
  <c r="I19" i="1" s="1"/>
  <c r="D20" i="1"/>
  <c r="D25" i="1" s="1"/>
  <c r="G24" i="1"/>
  <c r="G48" i="1" s="1"/>
  <c r="E24" i="1"/>
  <c r="E48" i="1" s="1"/>
  <c r="D24" i="1"/>
  <c r="D48" i="1" s="1"/>
  <c r="F24" i="1"/>
  <c r="F48" i="1" s="1"/>
  <c r="F49" i="1" s="1"/>
  <c r="C6" i="2" l="1"/>
  <c r="C19" i="2" s="1"/>
  <c r="C12" i="1" s="1"/>
  <c r="D49" i="1"/>
  <c r="D52" i="1"/>
  <c r="E49" i="1"/>
  <c r="G49" i="1"/>
  <c r="E52" i="1"/>
  <c r="F52" i="1"/>
  <c r="H55" i="1"/>
  <c r="J17" i="1"/>
  <c r="K17" i="1" s="1"/>
  <c r="K19" i="1" s="1"/>
  <c r="H19" i="1"/>
  <c r="H24" i="1" s="1"/>
  <c r="H48" i="1" s="1"/>
  <c r="H49" i="1" s="1"/>
  <c r="F28" i="1"/>
  <c r="F40" i="1"/>
  <c r="F36" i="1"/>
  <c r="D28" i="1"/>
  <c r="D36" i="1"/>
  <c r="D40" i="1"/>
  <c r="F43" i="1"/>
  <c r="E28" i="1"/>
  <c r="E36" i="1"/>
  <c r="E40" i="1"/>
  <c r="E43" i="1"/>
  <c r="D43" i="1"/>
  <c r="J31" i="1"/>
  <c r="K31" i="1" s="1"/>
  <c r="I24" i="1"/>
  <c r="I48" i="1" s="1"/>
  <c r="J19" i="1" l="1"/>
  <c r="J24" i="1" s="1"/>
  <c r="J48" i="1" s="1"/>
  <c r="J49" i="1" s="1"/>
  <c r="I49" i="1"/>
  <c r="I20" i="1"/>
  <c r="I25" i="1" s="1"/>
  <c r="H20" i="1"/>
  <c r="H25" i="1" s="1"/>
  <c r="I55" i="1"/>
  <c r="G40" i="1"/>
  <c r="G39" i="1" s="1"/>
  <c r="G36" i="1"/>
  <c r="G28" i="1"/>
  <c r="G43" i="1"/>
  <c r="K24" i="1"/>
  <c r="K48" i="1" s="1"/>
  <c r="K20" i="1" l="1"/>
  <c r="K25" i="1" s="1"/>
  <c r="J20" i="1"/>
  <c r="J25" i="1" s="1"/>
  <c r="K49" i="1"/>
  <c r="J55" i="1"/>
  <c r="G42" i="1"/>
  <c r="G64" i="1" s="1"/>
  <c r="G27" i="1"/>
  <c r="G35" i="1"/>
  <c r="G37" i="1" s="1"/>
  <c r="G62" i="1"/>
  <c r="H27" i="1"/>
  <c r="H51" i="1" s="1"/>
  <c r="H52" i="1" s="1"/>
  <c r="H36" i="1"/>
  <c r="H43" i="1"/>
  <c r="H40" i="1"/>
  <c r="H39" i="1" s="1"/>
  <c r="H30" i="1" l="1"/>
  <c r="G60" i="1"/>
  <c r="G30" i="1"/>
  <c r="K55" i="1"/>
  <c r="I27" i="1"/>
  <c r="I51" i="1" s="1"/>
  <c r="H35" i="1"/>
  <c r="I36" i="1"/>
  <c r="I35" i="1" s="1"/>
  <c r="I40" i="1"/>
  <c r="I39" i="1" s="1"/>
  <c r="H62" i="1"/>
  <c r="I43" i="1"/>
  <c r="H42" i="1"/>
  <c r="H64" i="1" s="1"/>
  <c r="I60" i="1" l="1"/>
  <c r="H60" i="1"/>
  <c r="H37" i="1"/>
  <c r="I30" i="1"/>
  <c r="G52" i="1"/>
  <c r="G54" i="1"/>
  <c r="G58" i="1" s="1"/>
  <c r="G68" i="1" s="1"/>
  <c r="G69" i="1" s="1"/>
  <c r="H54" i="1"/>
  <c r="H58" i="1" s="1"/>
  <c r="H68" i="1" s="1"/>
  <c r="H69" i="1" s="1"/>
  <c r="J36" i="1"/>
  <c r="K36" i="1"/>
  <c r="K35" i="1" s="1"/>
  <c r="J35" i="1"/>
  <c r="I62" i="1"/>
  <c r="J40" i="1"/>
  <c r="K27" i="1"/>
  <c r="K51" i="1" s="1"/>
  <c r="J27" i="1"/>
  <c r="J51" i="1" s="1"/>
  <c r="I42" i="1"/>
  <c r="I64" i="1" s="1"/>
  <c r="J43" i="1"/>
  <c r="J42" i="1" s="1"/>
  <c r="J64" i="1" s="1"/>
  <c r="J30" i="1" l="1"/>
  <c r="K30" i="1"/>
  <c r="I52" i="1"/>
  <c r="I54" i="1"/>
  <c r="I58" i="1" s="1"/>
  <c r="I68" i="1" s="1"/>
  <c r="I69" i="1" s="1"/>
  <c r="J60" i="1"/>
  <c r="K60" i="1"/>
  <c r="I37" i="1"/>
  <c r="K40" i="1"/>
  <c r="K39" i="1" s="1"/>
  <c r="K62" i="1" s="1"/>
  <c r="J39" i="1"/>
  <c r="J62" i="1" s="1"/>
  <c r="K43" i="1"/>
  <c r="K42" i="1" s="1"/>
  <c r="K64" i="1" s="1"/>
  <c r="J37" i="1" l="1"/>
  <c r="K37" i="1"/>
  <c r="K52" i="1"/>
  <c r="K54" i="1"/>
  <c r="K58" i="1" s="1"/>
  <c r="K68" i="1" s="1"/>
  <c r="K71" i="1" s="1"/>
  <c r="J52" i="1"/>
  <c r="J54" i="1"/>
  <c r="J58" i="1" s="1"/>
  <c r="J68" i="1" s="1"/>
  <c r="J69" i="1" s="1"/>
  <c r="K72" i="1" l="1"/>
  <c r="K69" i="1"/>
  <c r="K74" i="1" l="1"/>
  <c r="K78" i="1" s="1"/>
  <c r="K80" i="1" s="1"/>
  <c r="G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<sst xmlns="http://schemas.openxmlformats.org/spreadsheetml/2006/main" count="74" uniqueCount="57">
  <si>
    <t>Ticker</t>
  </si>
  <si>
    <t>Date</t>
  </si>
  <si>
    <t>Current</t>
  </si>
  <si>
    <t>Implied</t>
  </si>
  <si>
    <t>Assumptions</t>
  </si>
  <si>
    <t>Revenue</t>
  </si>
  <si>
    <t>Revenue Segment</t>
  </si>
  <si>
    <t>Streaming</t>
  </si>
  <si>
    <t>EBIT</t>
  </si>
  <si>
    <t>WACC</t>
  </si>
  <si>
    <t>TGV</t>
  </si>
  <si>
    <t>Income Statement</t>
  </si>
  <si>
    <t>Revenue Build</t>
  </si>
  <si>
    <t>% Growth</t>
  </si>
  <si>
    <t>Total Revenue</t>
  </si>
  <si>
    <t>% of Revenue</t>
  </si>
  <si>
    <t>Taxes</t>
  </si>
  <si>
    <t>% of EBIT</t>
  </si>
  <si>
    <t>Cash Flow Items</t>
  </si>
  <si>
    <t>D&amp;A</t>
  </si>
  <si>
    <t>% of CapEx</t>
  </si>
  <si>
    <t>CapEx</t>
  </si>
  <si>
    <t>Change in NWC</t>
  </si>
  <si>
    <t>DCF</t>
  </si>
  <si>
    <t>EBIAT</t>
  </si>
  <si>
    <t>Unlevered Free Cash Flow</t>
  </si>
  <si>
    <t>Present Value of UFC</t>
  </si>
  <si>
    <t>WACC = % of Equity * Cost of Equity + % of Debt * Cost of Debt * (1-Tax Rate)</t>
  </si>
  <si>
    <t>Market Cap</t>
  </si>
  <si>
    <t>Cost of Equity</t>
  </si>
  <si>
    <t>% of Equity</t>
  </si>
  <si>
    <t>Risk Free Rate</t>
  </si>
  <si>
    <t>Beta</t>
  </si>
  <si>
    <t>Equity Risk Premium</t>
  </si>
  <si>
    <t>Debt</t>
  </si>
  <si>
    <t>Cost of Debt</t>
  </si>
  <si>
    <t>Tax Rate</t>
  </si>
  <si>
    <t>% of Debt</t>
  </si>
  <si>
    <t>Total</t>
  </si>
  <si>
    <t>ERP</t>
  </si>
  <si>
    <t>Region</t>
  </si>
  <si>
    <t>Revenues</t>
  </si>
  <si>
    <t>Weight</t>
  </si>
  <si>
    <t>Weighted ERP</t>
  </si>
  <si>
    <t>UCAN</t>
  </si>
  <si>
    <t>EMEA</t>
  </si>
  <si>
    <t>LATAM</t>
  </si>
  <si>
    <t>APAC</t>
  </si>
  <si>
    <t>Cost of Equity = Risk Free Rate + Beta*Equity Risk Premium</t>
  </si>
  <si>
    <t>Terminal value</t>
  </si>
  <si>
    <t>PV of TV</t>
  </si>
  <si>
    <t>Enterprise Value</t>
  </si>
  <si>
    <t>(+) Cash</t>
  </si>
  <si>
    <t>(-) Debt</t>
  </si>
  <si>
    <t>Equity Value</t>
  </si>
  <si>
    <t>Diluted Shares Outstanding</t>
  </si>
  <si>
    <t>Implied Share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</si>
</sst>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00_);_([$$-409]* \(#,##0.00\);_([$$-409]* &quot;-&quot;??_);_(@_)"/>
    <numFmt numFmtId="165" formatCode="_([$$-409]* #,##0_);_([$$-409]* \(#,##0\);_([$$-409]* &quot;-&quot;_);_(@_)"/>
    <numFmt numFmtId="166" formatCode="#,##0;\(#,##0\);&quot;--&quot;"/>
    <numFmt numFmtId="167" formatCode="#,##0.0_ ;\-#,##0.0\ "/>
  </numFmts>
  <fonts count="9" x14ac:knownFonts="1">
    <font>
      <sz val="11"/>
      <color theme="1"/>
      <name val="Aptos Narrow"/>
      <family val="2"/>
      <scheme val="minor"/>
    </font>
    <font>
      <sz val="11"/>
      <color theme="1"/>
      <name val="Calibri Light"/>
      <family val="2"/>
    </font>
    <font>
      <b/>
      <sz val="11"/>
      <color theme="1"/>
      <name val="Calibri Light"/>
      <family val="2"/>
    </font>
    <font>
      <sz val="14"/>
      <color theme="1"/>
      <name val="Calibri Light"/>
      <family val="2"/>
    </font>
    <font>
      <sz val="14"/>
      <color theme="0"/>
      <name val="Calibri Light"/>
      <family val="2"/>
    </font>
    <font>
      <b/>
      <sz val="14"/>
      <color theme="0"/>
      <name val="Calibri Light"/>
      <family val="2"/>
    </font>
    <font>
      <i/>
      <sz val="14"/>
      <color theme="1"/>
      <name val="Calibri Light"/>
      <family val="2"/>
    </font>
    <font>
      <b/>
      <sz val="14"/>
      <color theme="1"/>
      <name val="Calibri Light"/>
      <family val="2"/>
    </font>
    <font>
      <b/>
      <i/>
      <sz val="14"/>
      <color theme="1"/>
      <name val="Calibri Light"/>
      <family val="2"/>
    </font>
  </fonts>
  <fills count="4">
    <fill>
      <patternFill patternType="none"/>
    </fill>
    <fill>
      <patternFill patternType="gray125"/>
    </fill>
    <fill>
      <patternFill patternType="solid">
        <fgColor theme="3" tint="0.89999084444715716"/>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9">
    <xf numFmtId="0" fontId="0" fillId="0" borderId="0" xfId="0"/>
    <xf numFmtId="0" fontId="1" fillId="0" borderId="0" xfId="0" applyFont="1"/>
    <xf numFmtId="10" fontId="1" fillId="0" borderId="0" xfId="0" applyNumberFormat="1" applyFont="1"/>
    <xf numFmtId="0" fontId="2" fillId="0" borderId="0" xfId="0" applyFont="1"/>
    <xf numFmtId="3" fontId="1" fillId="0" borderId="0" xfId="0" applyNumberFormat="1" applyFont="1"/>
    <xf numFmtId="0" fontId="3" fillId="0" borderId="0" xfId="0" applyFont="1"/>
    <xf numFmtId="0" fontId="3" fillId="2" borderId="1" xfId="0" applyFont="1" applyFill="1" applyBorder="1" applyAlignment="1">
      <alignment horizontal="right"/>
    </xf>
    <xf numFmtId="164" fontId="3" fillId="2" borderId="1" xfId="0" applyNumberFormat="1" applyFont="1" applyFill="1" applyBorder="1"/>
    <xf numFmtId="14" fontId="3" fillId="2" borderId="1" xfId="0" applyNumberFormat="1" applyFont="1" applyFill="1" applyBorder="1" applyAlignment="1">
      <alignment horizontal="right"/>
    </xf>
    <xf numFmtId="0" fontId="4" fillId="3" borderId="0" xfId="0" applyFont="1" applyFill="1"/>
    <xf numFmtId="0" fontId="3" fillId="3" borderId="0" xfId="0" applyFont="1" applyFill="1"/>
    <xf numFmtId="9" fontId="3" fillId="0" borderId="0" xfId="0" applyNumberFormat="1" applyFont="1"/>
    <xf numFmtId="10" fontId="3" fillId="0" borderId="0" xfId="0" applyNumberFormat="1" applyFont="1"/>
    <xf numFmtId="0" fontId="5" fillId="3" borderId="0" xfId="0" applyFont="1" applyFill="1"/>
    <xf numFmtId="37" fontId="3" fillId="0" borderId="0" xfId="0" applyNumberFormat="1" applyFont="1"/>
    <xf numFmtId="0" fontId="6" fillId="0" borderId="0" xfId="0" applyFont="1"/>
    <xf numFmtId="9" fontId="6" fillId="0" borderId="0" xfId="0" applyNumberFormat="1" applyFont="1"/>
    <xf numFmtId="37" fontId="7" fillId="0" borderId="2" xfId="0" applyNumberFormat="1" applyFont="1" applyBorder="1"/>
    <xf numFmtId="37" fontId="7" fillId="0" borderId="0" xfId="0" applyNumberFormat="1" applyFont="1"/>
    <xf numFmtId="37" fontId="6" fillId="0" borderId="0" xfId="0" applyNumberFormat="1" applyFont="1"/>
    <xf numFmtId="0" fontId="6" fillId="0" borderId="0" xfId="0" applyFont="1" applyAlignment="1">
      <alignment horizontal="left" indent="1"/>
    </xf>
    <xf numFmtId="0" fontId="3" fillId="0" borderId="2" xfId="0" applyFont="1" applyBorder="1"/>
    <xf numFmtId="0" fontId="3" fillId="0" borderId="3" xfId="0" applyFont="1" applyBorder="1"/>
    <xf numFmtId="0" fontId="7" fillId="0" borderId="0" xfId="0" applyFont="1"/>
    <xf numFmtId="0" fontId="8" fillId="0" borderId="2" xfId="0" applyFont="1" applyBorder="1"/>
    <xf numFmtId="0" fontId="3" fillId="0" borderId="0" xfId="0" applyFont="1" applyAlignment="1">
      <alignment horizontal="left" indent="1"/>
    </xf>
    <xf numFmtId="166" fontId="7" fillId="0" borderId="0" xfId="0" applyNumberFormat="1" applyFont="1"/>
    <xf numFmtId="0" fontId="2" fillId="0" borderId="4" xfId="0" applyFont="1" applyBorder="1"/>
    <xf numFmtId="165" fontId="1" fillId="0" borderId="5" xfId="0" applyNumberFormat="1" applyFont="1" applyBorder="1"/>
    <xf numFmtId="0" fontId="2" fillId="0" borderId="6" xfId="0" applyFont="1" applyBorder="1"/>
    <xf numFmtId="10" fontId="1" fillId="0" borderId="7" xfId="0" applyNumberFormat="1" applyFont="1" applyBorder="1"/>
    <xf numFmtId="0" fontId="2" fillId="0" borderId="6" xfId="0" applyFont="1" applyBorder="1" applyAlignment="1">
      <alignment horizontal="left" indent="1"/>
    </xf>
    <xf numFmtId="0" fontId="1" fillId="0" borderId="7" xfId="0" applyFont="1" applyBorder="1"/>
    <xf numFmtId="3" fontId="1" fillId="0" borderId="7" xfId="0" applyNumberFormat="1" applyFont="1" applyBorder="1"/>
    <xf numFmtId="9" fontId="1" fillId="0" borderId="7" xfId="0" applyNumberFormat="1" applyFont="1" applyBorder="1"/>
    <xf numFmtId="0" fontId="2" fillId="0" borderId="8" xfId="0" applyFont="1" applyBorder="1"/>
    <xf numFmtId="10" fontId="1" fillId="0" borderId="9" xfId="0" applyNumberFormat="1" applyFont="1" applyBorder="1"/>
    <xf numFmtId="167" fontId="7" fillId="2" borderId="1" xfId="0" applyNumberFormat="1" applyFont="1" applyFill="1" applyBorder="1"/>
    <xf numFmtId="3" fontId="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5" Type="http://schemas.openxmlformats.org/officeDocument/2006/relationships/customXml" Target="../customXml/item2.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 Id="rId14" Type="http://schemas.openxmlformats.org/officeDocument/2006/relationships/customXml" Target="../customXml/item1.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https://www.bing.com/financeapi/forcetrigger?t=a1ygoc&amp;q=XNAS%3aNFLX&amp;form=skydnc</v>
    <v>Learn more on Bing</v>
  </rv>
  <rv s="1">
    <v>en-US</v>
    <v>a1ygoc</v>
    <v>268435456</v>
    <v>1</v>
    <v>Powered by Refinitiv</v>
    <v>0</v>
    <v>NETFLIX, INC. (XNAS:NFLX)</v>
    <v>2</v>
    <v>3</v>
    <v>Finance</v>
    <v>4</v>
    <v>134.11500000000001</v>
    <v>82.11</v>
    <v>1.712</v>
    <v>-0.2</v>
    <v>-2.2040000000000002E-3</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14000</v>
    <v>Nasdaq Stock Market</v>
    <v>XNAS</v>
    <v>XNAS</v>
    <v>121 Albright Way, LOS GATOS, CA, 95032 US</v>
    <v>91.25</v>
    <v>Software &amp; IT Services</v>
    <v>Stock</v>
    <v>46031.041655034373</v>
    <v>0</v>
    <v>89.58</v>
    <v>413676382350</v>
    <v>NETFLIX, INC.</v>
    <v>NETFLIX, INC.</v>
    <v>90.45</v>
    <v>37.818800000000003</v>
    <v>90.73</v>
    <v>90.53</v>
    <v>4569495000</v>
    <v>NFLX</v>
    <v>NETFLIX, INC. (XNAS:NFLX)</v>
    <v>33757</v>
    <v>46281001</v>
    <v>1997</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m/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16C19-2559-494D-9283-B8DF8DBDB7FA}">
  <dimension ref="A1:AE80"/>
  <sheetViews>
    <sheetView showGridLines="0" tabSelected="1" topLeftCell="A55" zoomScale="80" zoomScaleNormal="80" workbookViewId="0">
      <pane xSplit="2" topLeftCell="C1" activePane="topRight" state="frozen"/>
      <selection pane="topRight" activeCell="O70" sqref="O70"/>
    </sheetView>
  </sheetViews>
  <sheetFormatPr defaultRowHeight="18.75" x14ac:dyDescent="0.3"/>
  <cols>
    <col min="1" max="1" width="2.7109375" style="5" customWidth="1"/>
    <col min="2" max="2" width="35.7109375" style="5" customWidth="1"/>
    <col min="3" max="27" width="13.7109375" style="5" customWidth="1"/>
    <col min="28" max="16384" width="9.140625" style="5"/>
  </cols>
  <sheetData>
    <row r="1" spans="1:11" x14ac:dyDescent="0.3">
      <c r="A1" s="5" t="e" vm="1">
        <v>#VALUE!</v>
      </c>
    </row>
    <row r="2" spans="1:11" x14ac:dyDescent="0.3">
      <c r="C2" s="5" t="s">
        <v>0</v>
      </c>
      <c r="D2" s="6" t="str" cm="1">
        <f t="array" aca="1" ref="D2" ca="1">_FV(A1,"Ticker Symbol",TRUE)</f>
        <v>NFLX</v>
      </c>
      <c r="F2" s="5" t="s">
        <v>2</v>
      </c>
      <c r="G2" s="7" cm="1">
        <f t="array" aca="1" ref="G2" ca="1">_FV(A1,"Price")</f>
        <v>90.53</v>
      </c>
    </row>
    <row r="3" spans="1:11" x14ac:dyDescent="0.3">
      <c r="C3" s="5" t="s">
        <v>1</v>
      </c>
      <c r="D3" s="8">
        <v>46029</v>
      </c>
      <c r="F3" s="5" t="s">
        <v>3</v>
      </c>
      <c r="G3" s="7">
        <f ca="1">K80</f>
        <v>89.874969327048177</v>
      </c>
    </row>
    <row r="5" spans="1:11" x14ac:dyDescent="0.3">
      <c r="B5" s="13" t="s">
        <v>4</v>
      </c>
      <c r="C5" s="9"/>
      <c r="D5" s="9"/>
      <c r="E5" s="9"/>
      <c r="F5" s="9"/>
      <c r="G5" s="9"/>
      <c r="H5" s="9"/>
      <c r="I5" s="9"/>
      <c r="J5" s="9"/>
      <c r="K5" s="10"/>
    </row>
    <row r="7" spans="1:11" x14ac:dyDescent="0.3">
      <c r="B7" s="23" t="s">
        <v>6</v>
      </c>
    </row>
    <row r="8" spans="1:11" x14ac:dyDescent="0.3">
      <c r="B8" s="23"/>
    </row>
    <row r="9" spans="1:11" x14ac:dyDescent="0.3">
      <c r="B9" s="23" t="s">
        <v>7</v>
      </c>
      <c r="C9" s="11">
        <v>0.1</v>
      </c>
    </row>
    <row r="10" spans="1:11" x14ac:dyDescent="0.3">
      <c r="B10" s="23"/>
    </row>
    <row r="11" spans="1:11" x14ac:dyDescent="0.3">
      <c r="B11" s="23" t="s">
        <v>8</v>
      </c>
      <c r="C11" s="11">
        <v>0.35</v>
      </c>
    </row>
    <row r="12" spans="1:11" x14ac:dyDescent="0.3">
      <c r="B12" s="23" t="s">
        <v>9</v>
      </c>
      <c r="C12" s="12">
        <f ca="1">WACC!C19</f>
        <v>7.3367210891564338E-2</v>
      </c>
    </row>
    <row r="13" spans="1:11" x14ac:dyDescent="0.3">
      <c r="B13" s="23" t="s">
        <v>10</v>
      </c>
      <c r="C13" s="12">
        <v>2.5000000000000001E-2</v>
      </c>
    </row>
    <row r="14" spans="1:11" x14ac:dyDescent="0.3">
      <c r="B14" s="23"/>
      <c r="C14" s="12"/>
    </row>
    <row r="15" spans="1:11" x14ac:dyDescent="0.3">
      <c r="B15" s="13" t="s">
        <v>12</v>
      </c>
      <c r="C15" s="13">
        <v>2022</v>
      </c>
      <c r="D15" s="13">
        <f>C15+1</f>
        <v>2023</v>
      </c>
      <c r="E15" s="13">
        <f t="shared" ref="E15:K15" si="0">D15+1</f>
        <v>2024</v>
      </c>
      <c r="F15" s="13">
        <f t="shared" si="0"/>
        <v>2025</v>
      </c>
      <c r="G15" s="13">
        <f t="shared" si="0"/>
        <v>2026</v>
      </c>
      <c r="H15" s="13">
        <f t="shared" si="0"/>
        <v>2027</v>
      </c>
      <c r="I15" s="13">
        <f t="shared" si="0"/>
        <v>2028</v>
      </c>
      <c r="J15" s="13">
        <f t="shared" si="0"/>
        <v>2029</v>
      </c>
      <c r="K15" s="13">
        <f t="shared" si="0"/>
        <v>2030</v>
      </c>
    </row>
    <row r="17" spans="2:11" x14ac:dyDescent="0.3">
      <c r="B17" s="5" t="str">
        <f>B9</f>
        <v>Streaming</v>
      </c>
      <c r="C17" s="14">
        <v>31615.55</v>
      </c>
      <c r="D17" s="14">
        <v>33723.296999999999</v>
      </c>
      <c r="E17" s="14">
        <v>39000.966</v>
      </c>
      <c r="F17" s="14">
        <v>44938.802757843587</v>
      </c>
      <c r="G17" s="14">
        <f>F17*(1+G18)</f>
        <v>50780.847116363249</v>
      </c>
      <c r="H17" s="14">
        <f t="shared" ref="H17:K17" si="1">G17*(1+H18)</f>
        <v>56874.548770326845</v>
      </c>
      <c r="I17" s="14">
        <f t="shared" si="1"/>
        <v>63130.749135062804</v>
      </c>
      <c r="J17" s="14">
        <f t="shared" si="1"/>
        <v>70075.131539919719</v>
      </c>
      <c r="K17" s="14">
        <f t="shared" si="1"/>
        <v>77082.644693911701</v>
      </c>
    </row>
    <row r="18" spans="2:11" x14ac:dyDescent="0.3">
      <c r="B18" s="20" t="s">
        <v>13</v>
      </c>
      <c r="C18" s="15"/>
      <c r="D18" s="16">
        <v>6.6668047843545297E-2</v>
      </c>
      <c r="E18" s="16">
        <v>0.15649919994477424</v>
      </c>
      <c r="F18" s="16">
        <v>0.1522484534830133</v>
      </c>
      <c r="G18" s="16">
        <v>0.13</v>
      </c>
      <c r="H18" s="16">
        <v>0.12</v>
      </c>
      <c r="I18" s="16">
        <v>0.11</v>
      </c>
      <c r="J18" s="16">
        <v>0.11</v>
      </c>
      <c r="K18" s="16">
        <v>0.1</v>
      </c>
    </row>
    <row r="19" spans="2:11" x14ac:dyDescent="0.3">
      <c r="B19" s="24" t="s">
        <v>14</v>
      </c>
      <c r="C19" s="17">
        <f>SUM(C17)</f>
        <v>31615.55</v>
      </c>
      <c r="D19" s="17">
        <f t="shared" ref="D19:K19" si="2">SUM(D17)</f>
        <v>33723.296999999999</v>
      </c>
      <c r="E19" s="17">
        <f t="shared" si="2"/>
        <v>39000.966</v>
      </c>
      <c r="F19" s="17">
        <f t="shared" si="2"/>
        <v>44938.802757843587</v>
      </c>
      <c r="G19" s="17">
        <f t="shared" si="2"/>
        <v>50780.847116363249</v>
      </c>
      <c r="H19" s="17">
        <f t="shared" si="2"/>
        <v>56874.548770326845</v>
      </c>
      <c r="I19" s="17">
        <f t="shared" si="2"/>
        <v>63130.749135062804</v>
      </c>
      <c r="J19" s="17">
        <f t="shared" si="2"/>
        <v>70075.131539919719</v>
      </c>
      <c r="K19" s="17">
        <f t="shared" si="2"/>
        <v>77082.644693911701</v>
      </c>
    </row>
    <row r="20" spans="2:11" x14ac:dyDescent="0.3">
      <c r="B20" s="20" t="s">
        <v>13</v>
      </c>
      <c r="D20" s="11">
        <f>D19/C19-1</f>
        <v>6.6668047843545297E-2</v>
      </c>
      <c r="E20" s="11">
        <f t="shared" ref="E20:K20" si="3">E19/D19-1</f>
        <v>0.15649919994477424</v>
      </c>
      <c r="F20" s="11">
        <f t="shared" si="3"/>
        <v>0.1522484534830133</v>
      </c>
      <c r="G20" s="11">
        <f t="shared" si="3"/>
        <v>0.12999999999999989</v>
      </c>
      <c r="H20" s="11">
        <f t="shared" si="3"/>
        <v>0.12000000000000011</v>
      </c>
      <c r="I20" s="11">
        <f t="shared" si="3"/>
        <v>0.1100000000000001</v>
      </c>
      <c r="J20" s="11">
        <f t="shared" si="3"/>
        <v>0.1100000000000001</v>
      </c>
      <c r="K20" s="11">
        <f t="shared" si="3"/>
        <v>0.10000000000000009</v>
      </c>
    </row>
    <row r="21" spans="2:11" x14ac:dyDescent="0.3">
      <c r="B21" s="20"/>
      <c r="D21" s="11"/>
      <c r="E21" s="11"/>
      <c r="F21" s="11"/>
      <c r="G21" s="11"/>
      <c r="H21" s="11"/>
      <c r="I21" s="11"/>
      <c r="J21" s="11"/>
      <c r="K21" s="11"/>
    </row>
    <row r="22" spans="2:11" x14ac:dyDescent="0.3">
      <c r="B22" s="13" t="s">
        <v>11</v>
      </c>
      <c r="C22" s="13">
        <v>2022</v>
      </c>
      <c r="D22" s="13">
        <f>C22+1</f>
        <v>2023</v>
      </c>
      <c r="E22" s="13">
        <f t="shared" ref="E22:K22" si="4">D22+1</f>
        <v>2024</v>
      </c>
      <c r="F22" s="13">
        <f t="shared" si="4"/>
        <v>2025</v>
      </c>
      <c r="G22" s="13">
        <f t="shared" si="4"/>
        <v>2026</v>
      </c>
      <c r="H22" s="13">
        <f t="shared" si="4"/>
        <v>2027</v>
      </c>
      <c r="I22" s="13">
        <f t="shared" si="4"/>
        <v>2028</v>
      </c>
      <c r="J22" s="13">
        <f t="shared" si="4"/>
        <v>2029</v>
      </c>
      <c r="K22" s="13">
        <f t="shared" si="4"/>
        <v>2030</v>
      </c>
    </row>
    <row r="24" spans="2:11" x14ac:dyDescent="0.3">
      <c r="B24" s="23" t="s">
        <v>5</v>
      </c>
      <c r="C24" s="18">
        <f>C19</f>
        <v>31615.55</v>
      </c>
      <c r="D24" s="18">
        <f t="shared" ref="D24:K24" si="5">D19</f>
        <v>33723.296999999999</v>
      </c>
      <c r="E24" s="18">
        <f t="shared" si="5"/>
        <v>39000.966</v>
      </c>
      <c r="F24" s="18">
        <f t="shared" si="5"/>
        <v>44938.802757843587</v>
      </c>
      <c r="G24" s="18">
        <f t="shared" si="5"/>
        <v>50780.847116363249</v>
      </c>
      <c r="H24" s="18">
        <f t="shared" si="5"/>
        <v>56874.548770326845</v>
      </c>
      <c r="I24" s="18">
        <f t="shared" si="5"/>
        <v>63130.749135062804</v>
      </c>
      <c r="J24" s="18">
        <f t="shared" si="5"/>
        <v>70075.131539919719</v>
      </c>
      <c r="K24" s="18">
        <f t="shared" si="5"/>
        <v>77082.644693911701</v>
      </c>
    </row>
    <row r="25" spans="2:11" ht="16.5" customHeight="1" x14ac:dyDescent="0.3">
      <c r="B25" s="25" t="s">
        <v>13</v>
      </c>
      <c r="C25" s="19"/>
      <c r="D25" s="16">
        <f>D20</f>
        <v>6.6668047843545297E-2</v>
      </c>
      <c r="E25" s="16">
        <f t="shared" ref="E25:K25" si="6">E20</f>
        <v>0.15649919994477424</v>
      </c>
      <c r="F25" s="16">
        <f t="shared" si="6"/>
        <v>0.1522484534830133</v>
      </c>
      <c r="G25" s="16">
        <f t="shared" si="6"/>
        <v>0.12999999999999989</v>
      </c>
      <c r="H25" s="16">
        <f t="shared" si="6"/>
        <v>0.12000000000000011</v>
      </c>
      <c r="I25" s="16">
        <f t="shared" si="6"/>
        <v>0.1100000000000001</v>
      </c>
      <c r="J25" s="16">
        <f t="shared" si="6"/>
        <v>0.1100000000000001</v>
      </c>
      <c r="K25" s="16">
        <f t="shared" si="6"/>
        <v>0.10000000000000009</v>
      </c>
    </row>
    <row r="27" spans="2:11" x14ac:dyDescent="0.3">
      <c r="B27" s="23" t="s">
        <v>8</v>
      </c>
      <c r="C27" s="18">
        <v>5632.8310000000001</v>
      </c>
      <c r="D27" s="18">
        <v>6954.0029999999997</v>
      </c>
      <c r="E27" s="18">
        <v>10417.614</v>
      </c>
      <c r="F27" s="18">
        <v>13263.603215573819</v>
      </c>
      <c r="G27" s="18">
        <f>G24*G28</f>
        <v>13007.810174504511</v>
      </c>
      <c r="H27" s="18">
        <f>H24*H28</f>
        <v>15924.873655691517</v>
      </c>
      <c r="I27" s="18">
        <f>I24*I28</f>
        <v>18939.224740518839</v>
      </c>
      <c r="J27" s="18">
        <f>J24*J28</f>
        <v>23124.793408173507</v>
      </c>
      <c r="K27" s="18">
        <f>K24*K28</f>
        <v>26978.925642869093</v>
      </c>
    </row>
    <row r="28" spans="2:11" x14ac:dyDescent="0.3">
      <c r="B28" s="20" t="s">
        <v>15</v>
      </c>
      <c r="C28" s="16">
        <f>C27/C24</f>
        <v>0.17816647187855345</v>
      </c>
      <c r="D28" s="16">
        <f>D27/D24</f>
        <v>0.20620768485358948</v>
      </c>
      <c r="E28" s="16">
        <f>E27/E24</f>
        <v>0.26711169154117875</v>
      </c>
      <c r="F28" s="16">
        <f>F27/F24</f>
        <v>0.29514812148080199</v>
      </c>
      <c r="G28" s="11">
        <f>AVERAGE(D28:F28)</f>
        <v>0.25615583262519009</v>
      </c>
      <c r="H28" s="11">
        <v>0.28000000000000003</v>
      </c>
      <c r="I28" s="11">
        <v>0.3</v>
      </c>
      <c r="J28" s="11">
        <v>0.33</v>
      </c>
      <c r="K28" s="11">
        <v>0.35</v>
      </c>
    </row>
    <row r="30" spans="2:11" x14ac:dyDescent="0.3">
      <c r="B30" s="23" t="s">
        <v>16</v>
      </c>
      <c r="C30" s="18">
        <v>772.005</v>
      </c>
      <c r="D30" s="18">
        <v>797.41499999999996</v>
      </c>
      <c r="E30" s="18">
        <v>1254.0260000000001</v>
      </c>
      <c r="F30" s="18">
        <v>1766.3195979278912</v>
      </c>
      <c r="G30" s="18">
        <f>G31*G27</f>
        <v>1596.5608097965835</v>
      </c>
      <c r="H30" s="18">
        <f>H31*H27</f>
        <v>1997.4282289945236</v>
      </c>
      <c r="I30" s="18">
        <f>I31*I27</f>
        <v>2407.4106215533279</v>
      </c>
      <c r="J30" s="18">
        <f>J31*J27</f>
        <v>2892.7516825859793</v>
      </c>
      <c r="K30" s="18">
        <f>K31*K27</f>
        <v>3396.0504865726339</v>
      </c>
    </row>
    <row r="31" spans="2:11" x14ac:dyDescent="0.3">
      <c r="B31" s="20" t="s">
        <v>17</v>
      </c>
      <c r="C31" s="11">
        <f>C30/C27</f>
        <v>0.13705452906362714</v>
      </c>
      <c r="D31" s="11">
        <f>D30/D27</f>
        <v>0.11466992464627927</v>
      </c>
      <c r="E31" s="11">
        <f>E30/E27</f>
        <v>0.12037554856611121</v>
      </c>
      <c r="F31" s="11">
        <f>F30/F27</f>
        <v>0.13317041901961596</v>
      </c>
      <c r="G31" s="11">
        <f>AVERAGE(D31:F31)</f>
        <v>0.12273863074400215</v>
      </c>
      <c r="H31" s="11">
        <f t="shared" ref="H31:K31" si="7">AVERAGE(E31:G31)</f>
        <v>0.1254281994432431</v>
      </c>
      <c r="I31" s="11">
        <f t="shared" si="7"/>
        <v>0.12711241640228707</v>
      </c>
      <c r="J31" s="11">
        <f t="shared" si="7"/>
        <v>0.12509308219651077</v>
      </c>
      <c r="K31" s="11">
        <f t="shared" si="7"/>
        <v>0.12587789934734697</v>
      </c>
    </row>
    <row r="33" spans="2:11" x14ac:dyDescent="0.3">
      <c r="B33" s="13" t="s">
        <v>18</v>
      </c>
      <c r="C33" s="13">
        <v>2022</v>
      </c>
      <c r="D33" s="13">
        <f>C33+1</f>
        <v>2023</v>
      </c>
      <c r="E33" s="13">
        <f t="shared" ref="E33:K33" si="8">D33+1</f>
        <v>2024</v>
      </c>
      <c r="F33" s="13">
        <f t="shared" si="8"/>
        <v>2025</v>
      </c>
      <c r="G33" s="13">
        <f t="shared" si="8"/>
        <v>2026</v>
      </c>
      <c r="H33" s="13">
        <f t="shared" si="8"/>
        <v>2027</v>
      </c>
      <c r="I33" s="13">
        <f t="shared" si="8"/>
        <v>2028</v>
      </c>
      <c r="J33" s="13">
        <f t="shared" si="8"/>
        <v>2029</v>
      </c>
      <c r="K33" s="13">
        <f t="shared" si="8"/>
        <v>2030</v>
      </c>
    </row>
    <row r="35" spans="2:11" x14ac:dyDescent="0.3">
      <c r="B35" s="23" t="s">
        <v>19</v>
      </c>
      <c r="C35" s="18">
        <v>336.68200000000002</v>
      </c>
      <c r="D35" s="18">
        <v>356.947</v>
      </c>
      <c r="E35" s="18">
        <v>328.91399999999999</v>
      </c>
      <c r="F35" s="18">
        <v>326.31698078796995</v>
      </c>
      <c r="G35" s="18">
        <f>G36*G24</f>
        <v>444.83055234847473</v>
      </c>
      <c r="H35" s="18">
        <f>H36*H24</f>
        <v>463.61585113593907</v>
      </c>
      <c r="I35" s="18">
        <f>I36*I24</f>
        <v>508.68075104104969</v>
      </c>
      <c r="J35" s="18">
        <f>J36*J24</f>
        <v>583.23384473817941</v>
      </c>
      <c r="K35" s="18">
        <f>K36*K24</f>
        <v>630.33320847872301</v>
      </c>
    </row>
    <row r="36" spans="2:11" s="20" customFormat="1" x14ac:dyDescent="0.3">
      <c r="B36" s="20" t="s">
        <v>15</v>
      </c>
      <c r="C36" s="16">
        <f>C35/C24</f>
        <v>1.0649253294660382E-2</v>
      </c>
      <c r="D36" s="16">
        <f>D35/D24</f>
        <v>1.0584581928629339E-2</v>
      </c>
      <c r="E36" s="16">
        <f>E35/E24</f>
        <v>8.4334834167953676E-3</v>
      </c>
      <c r="F36" s="16">
        <f>F35/F24</f>
        <v>7.2613634712601419E-3</v>
      </c>
      <c r="G36" s="16">
        <f>AVERAGE(D36:F36)</f>
        <v>8.7598096055616168E-3</v>
      </c>
      <c r="H36" s="16">
        <f t="shared" ref="H36:K36" si="9">AVERAGE(E36:G36)</f>
        <v>8.1515521645390415E-3</v>
      </c>
      <c r="I36" s="16">
        <f t="shared" si="9"/>
        <v>8.0575750804535995E-3</v>
      </c>
      <c r="J36" s="16">
        <f t="shared" si="9"/>
        <v>8.322978950184752E-3</v>
      </c>
      <c r="K36" s="16">
        <f t="shared" si="9"/>
        <v>8.1773687317257971E-3</v>
      </c>
    </row>
    <row r="37" spans="2:11" s="20" customFormat="1" x14ac:dyDescent="0.3">
      <c r="B37" s="20" t="s">
        <v>20</v>
      </c>
      <c r="C37" s="16">
        <f>C35/C39</f>
        <v>0.82574945613385364</v>
      </c>
      <c r="D37" s="16">
        <f>D35/D39</f>
        <v>1.0240853588560674</v>
      </c>
      <c r="E37" s="16">
        <f>E35/E39</f>
        <v>0.74831755161100966</v>
      </c>
      <c r="F37" s="16">
        <f t="shared" ref="F37:K37" si="10">F35/F39</f>
        <v>0.46451979941332483</v>
      </c>
      <c r="G37" s="16">
        <f>G35/G39</f>
        <v>0.70572392108281279</v>
      </c>
      <c r="H37" s="16">
        <f t="shared" si="10"/>
        <v>0.62202764608035899</v>
      </c>
      <c r="I37" s="16">
        <f t="shared" si="10"/>
        <v>0.58743950395537337</v>
      </c>
      <c r="J37" s="16">
        <f t="shared" si="10"/>
        <v>0.63641462943172189</v>
      </c>
      <c r="K37" s="16">
        <f t="shared" si="10"/>
        <v>0.61485270398531033</v>
      </c>
    </row>
    <row r="39" spans="2:11" x14ac:dyDescent="0.3">
      <c r="B39" s="23" t="s">
        <v>21</v>
      </c>
      <c r="C39" s="18">
        <v>407.72899999999998</v>
      </c>
      <c r="D39" s="18">
        <v>348.55200000000002</v>
      </c>
      <c r="E39" s="18">
        <v>439.53800000000001</v>
      </c>
      <c r="F39" s="18">
        <v>702.48239407684866</v>
      </c>
      <c r="G39" s="18">
        <f>G40*G24</f>
        <v>630.31808765382107</v>
      </c>
      <c r="H39" s="18">
        <f>H40*H24</f>
        <v>745.32997698312124</v>
      </c>
      <c r="I39" s="18">
        <f>I40*I24</f>
        <v>865.92874264665249</v>
      </c>
      <c r="J39" s="18">
        <f>J40*J24</f>
        <v>916.43689155758477</v>
      </c>
      <c r="K39" s="18">
        <f>K40*K24</f>
        <v>1025.1775821966337</v>
      </c>
    </row>
    <row r="40" spans="2:11" s="20" customFormat="1" x14ac:dyDescent="0.3">
      <c r="B40" s="20" t="s">
        <v>15</v>
      </c>
      <c r="C40" s="16">
        <f>C39/C24</f>
        <v>1.2896470249608183E-2</v>
      </c>
      <c r="D40" s="16">
        <f>D39/D24</f>
        <v>1.0335644228380162E-2</v>
      </c>
      <c r="E40" s="16">
        <f>E39/E24</f>
        <v>1.1269925980807758E-2</v>
      </c>
      <c r="F40" s="16">
        <f>F39/F24</f>
        <v>1.5631978400987505E-2</v>
      </c>
      <c r="G40" s="16">
        <f>AVERAGE(D40:F40)</f>
        <v>1.2412516203391809E-2</v>
      </c>
      <c r="H40" s="16">
        <f t="shared" ref="H40:K40" si="11">AVERAGE(E40:G40)</f>
        <v>1.3104806861729023E-2</v>
      </c>
      <c r="I40" s="16">
        <f t="shared" si="11"/>
        <v>1.3716433822036113E-2</v>
      </c>
      <c r="J40" s="16">
        <f t="shared" si="11"/>
        <v>1.3077918962385649E-2</v>
      </c>
      <c r="K40" s="16">
        <f t="shared" si="11"/>
        <v>1.3299719882050262E-2</v>
      </c>
    </row>
    <row r="42" spans="2:11" x14ac:dyDescent="0.3">
      <c r="B42" s="23" t="s">
        <v>22</v>
      </c>
      <c r="C42" s="18">
        <f>SUM(-353.834,-158.543,-55.513,27.356,-217.553)</f>
        <v>-758.08699999999999</v>
      </c>
      <c r="D42" s="18">
        <f>SUM(-181.003,93.502,103.565,178.708,-310.92)</f>
        <v>-116.14800000000002</v>
      </c>
      <c r="E42" s="18">
        <f>SUM(22.18,121.353,191.899,77.844,-446.351)</f>
        <v>-33.074999999999989</v>
      </c>
      <c r="F42" s="18">
        <f>SUM(-477.647,-125.929,746.329,203.862,-550.473)</f>
        <v>-203.85800000000006</v>
      </c>
      <c r="G42" s="18">
        <f>G43*G24</f>
        <v>-149.44041729882017</v>
      </c>
      <c r="H42" s="18">
        <f>H43*H24</f>
        <v>-157.86958326930355</v>
      </c>
      <c r="I42" s="18">
        <f>I43*I24</f>
        <v>-215.80084811427346</v>
      </c>
      <c r="J42" s="18">
        <f>J43*J24</f>
        <v>-213.42355256176472</v>
      </c>
      <c r="K42" s="18">
        <f>K43*K24</f>
        <v>-237.40698942206305</v>
      </c>
    </row>
    <row r="43" spans="2:11" s="20" customFormat="1" x14ac:dyDescent="0.3">
      <c r="B43" s="20" t="s">
        <v>15</v>
      </c>
      <c r="C43" s="16">
        <f>C42/C24</f>
        <v>-2.3978295490668357E-2</v>
      </c>
      <c r="D43" s="16">
        <f>D42/D24</f>
        <v>-3.4441472315117952E-3</v>
      </c>
      <c r="E43" s="16">
        <f>E42/E24</f>
        <v>-8.4805591738419987E-4</v>
      </c>
      <c r="F43" s="16">
        <f>F42/F24</f>
        <v>-4.5363469315928499E-3</v>
      </c>
      <c r="G43" s="16">
        <f>AVERAGE(D43:F43)</f>
        <v>-2.9428500268296152E-3</v>
      </c>
      <c r="H43" s="16">
        <f t="shared" ref="H43:K43" si="12">AVERAGE(E43:G43)</f>
        <v>-2.7757509586022219E-3</v>
      </c>
      <c r="I43" s="16">
        <f t="shared" si="12"/>
        <v>-3.4183159723415626E-3</v>
      </c>
      <c r="J43" s="16">
        <f t="shared" si="12"/>
        <v>-3.0456389859244669E-3</v>
      </c>
      <c r="K43" s="16">
        <f t="shared" si="12"/>
        <v>-3.0799019722894173E-3</v>
      </c>
    </row>
    <row r="44" spans="2:11" s="20" customFormat="1" x14ac:dyDescent="0.3">
      <c r="C44" s="16"/>
      <c r="D44" s="16"/>
      <c r="E44" s="16"/>
      <c r="F44" s="16"/>
      <c r="G44" s="16"/>
      <c r="H44" s="16"/>
      <c r="I44" s="16"/>
      <c r="J44" s="16"/>
      <c r="K44" s="16"/>
    </row>
    <row r="45" spans="2:11" x14ac:dyDescent="0.3">
      <c r="F45" s="16"/>
      <c r="G45" s="5">
        <v>1</v>
      </c>
      <c r="H45" s="5">
        <v>2</v>
      </c>
      <c r="I45" s="5">
        <v>3</v>
      </c>
      <c r="J45" s="5">
        <v>4</v>
      </c>
      <c r="K45" s="5">
        <v>5</v>
      </c>
    </row>
    <row r="46" spans="2:11" x14ac:dyDescent="0.3">
      <c r="B46" s="13" t="s">
        <v>23</v>
      </c>
      <c r="C46" s="13">
        <v>2022</v>
      </c>
      <c r="D46" s="13">
        <f>C46+1</f>
        <v>2023</v>
      </c>
      <c r="E46" s="13">
        <f t="shared" ref="E46:K46" si="13">D46+1</f>
        <v>2024</v>
      </c>
      <c r="F46" s="13">
        <f t="shared" si="13"/>
        <v>2025</v>
      </c>
      <c r="G46" s="13">
        <f t="shared" si="13"/>
        <v>2026</v>
      </c>
      <c r="H46" s="13">
        <f t="shared" si="13"/>
        <v>2027</v>
      </c>
      <c r="I46" s="13">
        <f t="shared" si="13"/>
        <v>2028</v>
      </c>
      <c r="J46" s="13">
        <f t="shared" si="13"/>
        <v>2029</v>
      </c>
      <c r="K46" s="13">
        <f t="shared" si="13"/>
        <v>2030</v>
      </c>
    </row>
    <row r="48" spans="2:11" x14ac:dyDescent="0.3">
      <c r="B48" s="23" t="s">
        <v>5</v>
      </c>
      <c r="C48" s="18">
        <f>C24</f>
        <v>31615.55</v>
      </c>
      <c r="D48" s="18">
        <f t="shared" ref="D48:K48" si="14">D24</f>
        <v>33723.296999999999</v>
      </c>
      <c r="E48" s="18">
        <f t="shared" si="14"/>
        <v>39000.966</v>
      </c>
      <c r="F48" s="18">
        <f t="shared" si="14"/>
        <v>44938.802757843587</v>
      </c>
      <c r="G48" s="18">
        <f t="shared" si="14"/>
        <v>50780.847116363249</v>
      </c>
      <c r="H48" s="18">
        <f t="shared" si="14"/>
        <v>56874.548770326845</v>
      </c>
      <c r="I48" s="18">
        <f t="shared" si="14"/>
        <v>63130.749135062804</v>
      </c>
      <c r="J48" s="18">
        <f t="shared" si="14"/>
        <v>70075.131539919719</v>
      </c>
      <c r="K48" s="18">
        <f t="shared" si="14"/>
        <v>77082.644693911701</v>
      </c>
    </row>
    <row r="49" spans="2:31" x14ac:dyDescent="0.3">
      <c r="B49" s="20" t="s">
        <v>13</v>
      </c>
      <c r="C49" s="19"/>
      <c r="D49" s="16">
        <f>D48/C48-1</f>
        <v>6.6668047843545297E-2</v>
      </c>
      <c r="E49" s="16">
        <f t="shared" ref="E49:K49" si="15">E48/D48-1</f>
        <v>0.15649919994477424</v>
      </c>
      <c r="F49" s="16">
        <f t="shared" si="15"/>
        <v>0.1522484534830133</v>
      </c>
      <c r="G49" s="16">
        <f t="shared" si="15"/>
        <v>0.12999999999999989</v>
      </c>
      <c r="H49" s="16">
        <f>H48/G48-1</f>
        <v>0.12000000000000011</v>
      </c>
      <c r="I49" s="16">
        <f t="shared" si="15"/>
        <v>0.1100000000000001</v>
      </c>
      <c r="J49" s="16">
        <f t="shared" si="15"/>
        <v>0.1100000000000001</v>
      </c>
      <c r="K49" s="16">
        <f t="shared" si="15"/>
        <v>0.10000000000000009</v>
      </c>
    </row>
    <row r="51" spans="2:31" x14ac:dyDescent="0.3">
      <c r="B51" s="23" t="s">
        <v>8</v>
      </c>
      <c r="C51" s="18">
        <f>C27</f>
        <v>5632.8310000000001</v>
      </c>
      <c r="D51" s="18">
        <f t="shared" ref="D51:K51" si="16">D27</f>
        <v>6954.0029999999997</v>
      </c>
      <c r="E51" s="18">
        <f t="shared" si="16"/>
        <v>10417.614</v>
      </c>
      <c r="F51" s="18">
        <f t="shared" si="16"/>
        <v>13263.603215573819</v>
      </c>
      <c r="G51" s="18">
        <f t="shared" si="16"/>
        <v>13007.810174504511</v>
      </c>
      <c r="H51" s="18">
        <f t="shared" si="16"/>
        <v>15924.873655691517</v>
      </c>
      <c r="I51" s="18">
        <f t="shared" si="16"/>
        <v>18939.224740518839</v>
      </c>
      <c r="J51" s="18">
        <f t="shared" si="16"/>
        <v>23124.793408173507</v>
      </c>
      <c r="K51" s="18">
        <f t="shared" si="16"/>
        <v>26978.925642869093</v>
      </c>
    </row>
    <row r="52" spans="2:31" x14ac:dyDescent="0.3">
      <c r="B52" s="20" t="s">
        <v>15</v>
      </c>
      <c r="C52" s="16">
        <f>C51/C48</f>
        <v>0.17816647187855345</v>
      </c>
      <c r="D52" s="16">
        <f t="shared" ref="D52:K52" si="17">D51/D48</f>
        <v>0.20620768485358948</v>
      </c>
      <c r="E52" s="16">
        <f t="shared" si="17"/>
        <v>0.26711169154117875</v>
      </c>
      <c r="F52" s="16">
        <f t="shared" si="17"/>
        <v>0.29514812148080199</v>
      </c>
      <c r="G52" s="16">
        <f t="shared" si="17"/>
        <v>0.25615583262519009</v>
      </c>
      <c r="H52" s="16">
        <f>H51/H48</f>
        <v>0.28000000000000003</v>
      </c>
      <c r="I52" s="16">
        <f t="shared" si="17"/>
        <v>0.3</v>
      </c>
      <c r="J52" s="16">
        <f t="shared" si="17"/>
        <v>0.33</v>
      </c>
      <c r="K52" s="16">
        <f t="shared" si="17"/>
        <v>0.35</v>
      </c>
    </row>
    <row r="54" spans="2:31" x14ac:dyDescent="0.3">
      <c r="B54" s="23" t="s">
        <v>16</v>
      </c>
      <c r="C54" s="18">
        <f>C30</f>
        <v>772.005</v>
      </c>
      <c r="D54" s="18">
        <f t="shared" ref="D54:F54" si="18">D30</f>
        <v>797.41499999999996</v>
      </c>
      <c r="E54" s="18">
        <f t="shared" si="18"/>
        <v>1254.0260000000001</v>
      </c>
      <c r="F54" s="18">
        <f t="shared" si="18"/>
        <v>1766.3195979278912</v>
      </c>
      <c r="G54" s="18">
        <f>G55*G51</f>
        <v>1596.5608097965835</v>
      </c>
      <c r="H54" s="18">
        <f t="shared" ref="H54:K54" si="19">H55*H51</f>
        <v>1997.4282289945236</v>
      </c>
      <c r="I54" s="18">
        <f t="shared" si="19"/>
        <v>2407.4106215533279</v>
      </c>
      <c r="J54" s="18">
        <f t="shared" si="19"/>
        <v>2892.7516825859793</v>
      </c>
      <c r="K54" s="18">
        <f t="shared" si="19"/>
        <v>3396.0504865726339</v>
      </c>
    </row>
    <row r="55" spans="2:31" x14ac:dyDescent="0.3">
      <c r="B55" s="20" t="s">
        <v>17</v>
      </c>
      <c r="C55" s="16">
        <f>C54/C51</f>
        <v>0.13705452906362714</v>
      </c>
      <c r="D55" s="16">
        <f t="shared" ref="D55:F55" si="20">D54/D51</f>
        <v>0.11466992464627927</v>
      </c>
      <c r="E55" s="16">
        <f t="shared" si="20"/>
        <v>0.12037554856611121</v>
      </c>
      <c r="F55" s="16">
        <f t="shared" si="20"/>
        <v>0.13317041901961596</v>
      </c>
      <c r="G55" s="11">
        <f>AVERAGE(D55:F55)</f>
        <v>0.12273863074400215</v>
      </c>
      <c r="H55" s="11">
        <f t="shared" ref="H55:K55" si="21">AVERAGE(E55:G55)</f>
        <v>0.1254281994432431</v>
      </c>
      <c r="I55" s="11">
        <f t="shared" si="21"/>
        <v>0.12711241640228707</v>
      </c>
      <c r="J55" s="11">
        <f t="shared" si="21"/>
        <v>0.12509308219651077</v>
      </c>
      <c r="K55" s="11">
        <f t="shared" si="21"/>
        <v>0.12587789934734697</v>
      </c>
    </row>
    <row r="57" spans="2:31" s="21" customFormat="1" x14ac:dyDescent="0.3">
      <c r="L57" s="5"/>
      <c r="M57" s="5"/>
      <c r="N57" s="5"/>
      <c r="O57" s="5"/>
      <c r="P57" s="5"/>
      <c r="Q57" s="5"/>
      <c r="R57" s="5"/>
      <c r="S57" s="5"/>
      <c r="T57" s="5"/>
      <c r="U57" s="5"/>
      <c r="V57" s="5"/>
      <c r="W57" s="5"/>
      <c r="X57" s="5"/>
      <c r="Y57" s="5"/>
      <c r="Z57" s="5"/>
      <c r="AA57" s="5"/>
      <c r="AB57" s="5"/>
      <c r="AC57" s="5"/>
      <c r="AD57" s="5"/>
      <c r="AE57" s="5"/>
    </row>
    <row r="58" spans="2:31" x14ac:dyDescent="0.3">
      <c r="B58" s="23" t="s">
        <v>24</v>
      </c>
      <c r="G58" s="18">
        <f>G51-G54</f>
        <v>11411.249364707928</v>
      </c>
      <c r="H58" s="18">
        <f t="shared" ref="H58:K58" si="22">H51-H54</f>
        <v>13927.445426696993</v>
      </c>
      <c r="I58" s="18">
        <f>I51-I54</f>
        <v>16531.814118965511</v>
      </c>
      <c r="J58" s="18">
        <f t="shared" si="22"/>
        <v>20232.041725587529</v>
      </c>
      <c r="K58" s="18">
        <f t="shared" si="22"/>
        <v>23582.875156296461</v>
      </c>
    </row>
    <row r="60" spans="2:31" x14ac:dyDescent="0.3">
      <c r="B60" s="23" t="s">
        <v>19</v>
      </c>
      <c r="C60" s="18">
        <f>C35</f>
        <v>336.68200000000002</v>
      </c>
      <c r="D60" s="18">
        <f t="shared" ref="D60:K60" si="23">D35</f>
        <v>356.947</v>
      </c>
      <c r="E60" s="18">
        <f t="shared" si="23"/>
        <v>328.91399999999999</v>
      </c>
      <c r="F60" s="18">
        <f t="shared" si="23"/>
        <v>326.31698078796995</v>
      </c>
      <c r="G60" s="18">
        <f t="shared" si="23"/>
        <v>444.83055234847473</v>
      </c>
      <c r="H60" s="18">
        <f t="shared" si="23"/>
        <v>463.61585113593907</v>
      </c>
      <c r="I60" s="18">
        <f t="shared" si="23"/>
        <v>508.68075104104969</v>
      </c>
      <c r="J60" s="18">
        <f t="shared" si="23"/>
        <v>583.23384473817941</v>
      </c>
      <c r="K60" s="18">
        <f t="shared" si="23"/>
        <v>630.33320847872301</v>
      </c>
    </row>
    <row r="61" spans="2:31" x14ac:dyDescent="0.3">
      <c r="B61" s="23"/>
    </row>
    <row r="62" spans="2:31" x14ac:dyDescent="0.3">
      <c r="B62" s="23" t="s">
        <v>21</v>
      </c>
      <c r="C62" s="18">
        <f>C39</f>
        <v>407.72899999999998</v>
      </c>
      <c r="D62" s="18">
        <f t="shared" ref="D62:K62" si="24">D39</f>
        <v>348.55200000000002</v>
      </c>
      <c r="E62" s="18">
        <f t="shared" si="24"/>
        <v>439.53800000000001</v>
      </c>
      <c r="F62" s="18">
        <f t="shared" si="24"/>
        <v>702.48239407684866</v>
      </c>
      <c r="G62" s="18">
        <f t="shared" si="24"/>
        <v>630.31808765382107</v>
      </c>
      <c r="H62" s="18">
        <f t="shared" si="24"/>
        <v>745.32997698312124</v>
      </c>
      <c r="I62" s="18">
        <f t="shared" si="24"/>
        <v>865.92874264665249</v>
      </c>
      <c r="J62" s="18">
        <f t="shared" si="24"/>
        <v>916.43689155758477</v>
      </c>
      <c r="K62" s="18">
        <f t="shared" si="24"/>
        <v>1025.1775821966337</v>
      </c>
    </row>
    <row r="63" spans="2:31" x14ac:dyDescent="0.3">
      <c r="B63" s="23"/>
    </row>
    <row r="64" spans="2:31" x14ac:dyDescent="0.3">
      <c r="B64" s="23" t="s">
        <v>22</v>
      </c>
      <c r="C64" s="26">
        <f>C42</f>
        <v>-758.08699999999999</v>
      </c>
      <c r="D64" s="26">
        <f t="shared" ref="D64:K64" si="25">D42</f>
        <v>-116.14800000000002</v>
      </c>
      <c r="E64" s="26">
        <f t="shared" si="25"/>
        <v>-33.074999999999989</v>
      </c>
      <c r="F64" s="26">
        <f t="shared" si="25"/>
        <v>-203.85800000000006</v>
      </c>
      <c r="G64" s="26">
        <f t="shared" si="25"/>
        <v>-149.44041729882017</v>
      </c>
      <c r="H64" s="26">
        <f t="shared" si="25"/>
        <v>-157.86958326930355</v>
      </c>
      <c r="I64" s="26">
        <f t="shared" si="25"/>
        <v>-215.80084811427346</v>
      </c>
      <c r="J64" s="26">
        <f t="shared" si="25"/>
        <v>-213.42355256176472</v>
      </c>
      <c r="K64" s="26">
        <f t="shared" si="25"/>
        <v>-237.40698942206305</v>
      </c>
    </row>
    <row r="66" spans="2:31" s="22" customFormat="1" x14ac:dyDescent="0.3">
      <c r="L66" s="5"/>
      <c r="M66" s="5"/>
      <c r="N66" s="5"/>
      <c r="O66" s="5"/>
      <c r="P66" s="5"/>
      <c r="Q66" s="5"/>
      <c r="R66" s="5"/>
      <c r="S66" s="5"/>
      <c r="T66" s="5"/>
      <c r="U66" s="5"/>
      <c r="V66" s="5"/>
      <c r="W66" s="5"/>
      <c r="X66" s="5"/>
      <c r="Y66" s="5"/>
      <c r="Z66" s="5"/>
      <c r="AA66" s="5"/>
      <c r="AB66" s="5"/>
      <c r="AC66" s="5"/>
      <c r="AD66" s="5"/>
      <c r="AE66" s="5"/>
    </row>
    <row r="68" spans="2:31" x14ac:dyDescent="0.3">
      <c r="B68" s="23" t="s">
        <v>25</v>
      </c>
      <c r="G68" s="18">
        <f>G58+G60-G62-G64</f>
        <v>11375.202246701401</v>
      </c>
      <c r="H68" s="18">
        <f t="shared" ref="H68:K68" si="26">H58+H60-H62-H64</f>
        <v>13803.600884119114</v>
      </c>
      <c r="I68" s="18">
        <f>I58+I60-I62-I64</f>
        <v>16390.366975474182</v>
      </c>
      <c r="J68" s="18">
        <f t="shared" si="26"/>
        <v>20112.262231329893</v>
      </c>
      <c r="K68" s="18">
        <f t="shared" si="26"/>
        <v>23425.437772000612</v>
      </c>
    </row>
    <row r="69" spans="2:31" x14ac:dyDescent="0.3">
      <c r="B69" s="23" t="s">
        <v>26</v>
      </c>
      <c r="G69" s="18">
        <f ca="1">G68/(1+$C$12)^G45</f>
        <v>10597.680021595674</v>
      </c>
      <c r="H69" s="18">
        <f t="shared" ref="H69:K69" ca="1" si="27">H68/(1+$C$12)^H45</f>
        <v>11981.073844340372</v>
      </c>
      <c r="I69" s="18">
        <f t="shared" ca="1" si="27"/>
        <v>13253.900450205929</v>
      </c>
      <c r="J69" s="18">
        <f t="shared" ca="1" si="27"/>
        <v>15151.918490634373</v>
      </c>
      <c r="K69" s="18">
        <f t="shared" ca="1" si="27"/>
        <v>16441.676306181627</v>
      </c>
    </row>
    <row r="71" spans="2:31" x14ac:dyDescent="0.3">
      <c r="B71" s="23" t="s">
        <v>49</v>
      </c>
      <c r="K71" s="18">
        <f ca="1">K68*(1+C13)/(C12-C13)</f>
        <v>496432.87825985369</v>
      </c>
    </row>
    <row r="72" spans="2:31" x14ac:dyDescent="0.3">
      <c r="B72" s="23" t="s">
        <v>50</v>
      </c>
      <c r="K72" s="18">
        <f ca="1">K71/(1+C12)^5</f>
        <v>348432.70685214206</v>
      </c>
    </row>
    <row r="73" spans="2:31" x14ac:dyDescent="0.3">
      <c r="B73" s="23"/>
    </row>
    <row r="74" spans="2:31" x14ac:dyDescent="0.3">
      <c r="B74" s="23" t="s">
        <v>51</v>
      </c>
      <c r="K74" s="18">
        <f ca="1">SUM(K72+SUM(G69:K69))</f>
        <v>415858.95596510003</v>
      </c>
    </row>
    <row r="75" spans="2:31" x14ac:dyDescent="0.3">
      <c r="B75" s="23" t="s">
        <v>52</v>
      </c>
      <c r="K75" s="18">
        <f>9287.287</f>
        <v>9287.2870000000003</v>
      </c>
    </row>
    <row r="76" spans="2:31" x14ac:dyDescent="0.3">
      <c r="B76" s="23" t="s">
        <v>53</v>
      </c>
      <c r="K76" s="18">
        <f>WACC!C12</f>
        <v>14463.02</v>
      </c>
    </row>
    <row r="77" spans="2:31" x14ac:dyDescent="0.3">
      <c r="B77" s="23"/>
    </row>
    <row r="78" spans="2:31" x14ac:dyDescent="0.3">
      <c r="B78" s="23" t="s">
        <v>54</v>
      </c>
      <c r="K78" s="18">
        <f ca="1">K74+K75-K76</f>
        <v>410683.22296510002</v>
      </c>
    </row>
    <row r="79" spans="2:31" x14ac:dyDescent="0.3">
      <c r="B79" s="23" t="s">
        <v>55</v>
      </c>
      <c r="J79" s="38" cm="1">
        <f t="array" aca="1" ref="J79" ca="1">_FV(A1,"Shares outstanding",TRUE)/1000000</f>
        <v>4569.4949999999999</v>
      </c>
      <c r="K79" s="38"/>
    </row>
    <row r="80" spans="2:31" x14ac:dyDescent="0.3">
      <c r="B80" s="23" t="s">
        <v>56</v>
      </c>
      <c r="K80" s="37">
        <f ca="1">K78/J79</f>
        <v>89.874969327048177</v>
      </c>
    </row>
  </sheetData>
  <mergeCells count="1">
    <mergeCell ref="J79:K79"/>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B245-0B90-4BE2-B02D-A7A2009A8427}">
  <dimension ref="A1:F29"/>
  <sheetViews>
    <sheetView showGridLines="0" workbookViewId="0">
      <selection activeCell="I14" sqref="I14"/>
    </sheetView>
  </sheetViews>
  <sheetFormatPr defaultRowHeight="15" x14ac:dyDescent="0.25"/>
  <cols>
    <col min="1" max="1" width="6.5703125" style="1" customWidth="1"/>
    <col min="2" max="2" width="25.7109375" style="1" customWidth="1"/>
    <col min="3" max="10" width="13.7109375" style="1" customWidth="1"/>
    <col min="11" max="16384" width="9.140625" style="1"/>
  </cols>
  <sheetData>
    <row r="1" spans="1:3" x14ac:dyDescent="0.25">
      <c r="A1" s="1" t="e" vm="1">
        <v>#VALUE!</v>
      </c>
    </row>
    <row r="3" spans="1:3" x14ac:dyDescent="0.25">
      <c r="B3" s="1" t="s">
        <v>27</v>
      </c>
    </row>
    <row r="4" spans="1:3" x14ac:dyDescent="0.25">
      <c r="B4" s="1" t="s">
        <v>48</v>
      </c>
    </row>
    <row r="5" spans="1:3" x14ac:dyDescent="0.25">
      <c r="B5" s="27" t="s">
        <v>28</v>
      </c>
      <c r="C5" s="28" cm="1">
        <f t="array" aca="1" ref="C5" ca="1">_FV(A1,"Market Cap",TRUE)/1000000</f>
        <v>413676.38235000003</v>
      </c>
    </row>
    <row r="6" spans="1:3" x14ac:dyDescent="0.25">
      <c r="B6" s="29" t="s">
        <v>30</v>
      </c>
      <c r="C6" s="30">
        <f ca="1">C5/C17</f>
        <v>0.9662188999176099</v>
      </c>
    </row>
    <row r="7" spans="1:3" x14ac:dyDescent="0.25">
      <c r="B7" s="29" t="s">
        <v>29</v>
      </c>
      <c r="C7" s="30">
        <f>C8+C9*C10</f>
        <v>7.4429602309639242E-2</v>
      </c>
    </row>
    <row r="8" spans="1:3" x14ac:dyDescent="0.25">
      <c r="B8" s="31" t="s">
        <v>31</v>
      </c>
      <c r="C8" s="30">
        <v>4.0050000000000002E-2</v>
      </c>
    </row>
    <row r="9" spans="1:3" x14ac:dyDescent="0.25">
      <c r="B9" s="31" t="s">
        <v>32</v>
      </c>
      <c r="C9" s="32">
        <v>0.59</v>
      </c>
    </row>
    <row r="10" spans="1:3" x14ac:dyDescent="0.25">
      <c r="B10" s="31" t="s">
        <v>33</v>
      </c>
      <c r="C10" s="30">
        <f>F29</f>
        <v>5.8270512389219049E-2</v>
      </c>
    </row>
    <row r="11" spans="1:3" x14ac:dyDescent="0.25">
      <c r="B11" s="29"/>
      <c r="C11" s="32"/>
    </row>
    <row r="12" spans="1:3" x14ac:dyDescent="0.25">
      <c r="B12" s="29" t="s">
        <v>34</v>
      </c>
      <c r="C12" s="33">
        <v>14463.02</v>
      </c>
    </row>
    <row r="13" spans="1:3" x14ac:dyDescent="0.25">
      <c r="B13" s="29" t="s">
        <v>37</v>
      </c>
      <c r="C13" s="30">
        <f ca="1">C12/C17</f>
        <v>3.378110008239002E-2</v>
      </c>
    </row>
    <row r="14" spans="1:3" x14ac:dyDescent="0.25">
      <c r="B14" s="29" t="s">
        <v>35</v>
      </c>
      <c r="C14" s="30">
        <v>4.9977114046720533E-2</v>
      </c>
    </row>
    <row r="15" spans="1:3" x14ac:dyDescent="0.25">
      <c r="B15" s="29" t="s">
        <v>36</v>
      </c>
      <c r="C15" s="34">
        <v>0.14000000000000001</v>
      </c>
    </row>
    <row r="16" spans="1:3" x14ac:dyDescent="0.25">
      <c r="B16" s="29"/>
      <c r="C16" s="32"/>
    </row>
    <row r="17" spans="2:6" x14ac:dyDescent="0.25">
      <c r="B17" s="29" t="s">
        <v>38</v>
      </c>
      <c r="C17" s="33">
        <f ca="1">SUM(C12+C5)</f>
        <v>428139.40235000005</v>
      </c>
    </row>
    <row r="18" spans="2:6" x14ac:dyDescent="0.25">
      <c r="B18" s="29"/>
      <c r="C18" s="32"/>
    </row>
    <row r="19" spans="2:6" x14ac:dyDescent="0.25">
      <c r="B19" s="35" t="s">
        <v>9</v>
      </c>
      <c r="C19" s="36">
        <f ca="1">(C6*C7)+(C13*C14*(1-C15))</f>
        <v>7.3367210891564338E-2</v>
      </c>
    </row>
    <row r="20" spans="2:6" x14ac:dyDescent="0.25">
      <c r="B20" s="3"/>
    </row>
    <row r="21" spans="2:6" x14ac:dyDescent="0.25">
      <c r="B21" s="1" t="s">
        <v>39</v>
      </c>
    </row>
    <row r="23" spans="2:6" x14ac:dyDescent="0.25">
      <c r="B23" s="1" t="s">
        <v>40</v>
      </c>
      <c r="C23" s="1" t="s">
        <v>41</v>
      </c>
      <c r="D23" s="1" t="s">
        <v>39</v>
      </c>
      <c r="E23" s="1" t="s">
        <v>42</v>
      </c>
      <c r="F23" s="1" t="s">
        <v>43</v>
      </c>
    </row>
    <row r="25" spans="2:6" x14ac:dyDescent="0.25">
      <c r="B25" s="1" t="s">
        <v>44</v>
      </c>
      <c r="C25" s="4">
        <v>14617.882</v>
      </c>
      <c r="D25" s="2">
        <v>4.58E-2</v>
      </c>
      <c r="E25" s="2">
        <f>C25/C29</f>
        <v>0.44119766726545845</v>
      </c>
      <c r="F25" s="2">
        <f>D25*E25</f>
        <v>2.0206853160757998E-2</v>
      </c>
    </row>
    <row r="26" spans="2:6" x14ac:dyDescent="0.25">
      <c r="B26" s="1" t="s">
        <v>45</v>
      </c>
      <c r="C26" s="4">
        <v>10641.903</v>
      </c>
      <c r="D26" s="2">
        <v>6.2199999999999998E-2</v>
      </c>
      <c r="E26" s="2">
        <f>C26/C29</f>
        <v>0.3211944643461539</v>
      </c>
      <c r="F26" s="2">
        <f t="shared" ref="F26:F28" si="0">D26*E26</f>
        <v>1.9978295682330772E-2</v>
      </c>
    </row>
    <row r="27" spans="2:6" x14ac:dyDescent="0.25">
      <c r="B27" s="1" t="s">
        <v>46</v>
      </c>
      <c r="C27" s="4">
        <v>3939.5819999999999</v>
      </c>
      <c r="D27" s="2">
        <v>9.2999999999999999E-2</v>
      </c>
      <c r="E27" s="2">
        <f>C27/C29</f>
        <v>0.11890466679105696</v>
      </c>
      <c r="F27" s="2">
        <f t="shared" si="0"/>
        <v>1.1058134011568297E-2</v>
      </c>
    </row>
    <row r="28" spans="2:6" x14ac:dyDescent="0.25">
      <c r="B28" s="1" t="s">
        <v>47</v>
      </c>
      <c r="C28" s="4">
        <v>3932.9070000000002</v>
      </c>
      <c r="D28" s="2">
        <v>5.9200000000000003E-2</v>
      </c>
      <c r="E28" s="2">
        <f>C28/C29</f>
        <v>0.11870320159733076</v>
      </c>
      <c r="F28" s="2">
        <f t="shared" si="0"/>
        <v>7.0272295345619818E-3</v>
      </c>
    </row>
    <row r="29" spans="2:6" x14ac:dyDescent="0.25">
      <c r="C29" s="4">
        <f>SUM(C25:C28)</f>
        <v>33132.273999999998</v>
      </c>
      <c r="F29" s="2">
        <f>SUM(F25:F28)</f>
        <v>5.8270512389219049E-2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6B9DE093F4AF4DA26F0242CFBD8C0C" ma:contentTypeVersion="5" ma:contentTypeDescription="Create a new document." ma:contentTypeScope="" ma:versionID="eefff5d6ed61cfc1bb02533b18518a01">
  <xsd:schema xmlns:xsd="http://www.w3.org/2001/XMLSchema" xmlns:xs="http://www.w3.org/2001/XMLSchema" xmlns:p="http://schemas.microsoft.com/office/2006/metadata/properties" xmlns:ns3="db285862-84ee-4cd8-b5d7-4f212d9e49e9" targetNamespace="http://schemas.microsoft.com/office/2006/metadata/properties" ma:root="true" ma:fieldsID="9bee60713c287fb25d7bfd1c36ce2d6d" ns3:_="">
    <xsd:import namespace="db285862-84ee-4cd8-b5d7-4f212d9e49e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85862-84ee-4cd8-b5d7-4f212d9e49e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63103E-AFB0-4203-A60F-40FC9D3E15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285862-84ee-4cd8-b5d7-4f212d9e49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9FDD02-BDE1-44C7-BBF4-38700E7A95CE}">
  <ds:schemaRefs>
    <ds:schemaRef ds:uri="http://schemas.microsoft.com/sharepoint/v3/contenttype/forms"/>
  </ds:schemaRefs>
</ds:datastoreItem>
</file>

<file path=customXml/itemProps3.xml><?xml version="1.0" encoding="utf-8"?>
<ds:datastoreItem xmlns:ds="http://schemas.openxmlformats.org/officeDocument/2006/customXml" ds:itemID="{59C40284-057D-4FBB-AC48-B44CD1771C09}">
  <ds:schemaRefs>
    <ds:schemaRef ds:uri="http://schemas.microsoft.com/office/2006/documentManagement/types"/>
    <ds:schemaRef ds:uri="db285862-84ee-4cd8-b5d7-4f212d9e49e9"/>
    <ds:schemaRef ds:uri="http://purl.org/dc/elements/1.1/"/>
    <ds:schemaRef ds:uri="http://purl.org/dc/terms/"/>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Valuation</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 YUAN XI BRIANT</dc:creator>
  <cp:lastModifiedBy>Office</cp:lastModifiedBy>
  <dcterms:created xsi:type="dcterms:W3CDTF">2026-01-07T08:26:25Z</dcterms:created>
  <dcterms:modified xsi:type="dcterms:W3CDTF">2026-01-09T10:54:40Z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0x0101006D6B9DE093F4AF4DA26F0242CFBD8C0C</vt:lpwstr>
  </property>
</Properties>
</file>